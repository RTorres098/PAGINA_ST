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SI\Downloads\"/>
    </mc:Choice>
  </mc:AlternateContent>
  <xr:revisionPtr revIDLastSave="0" documentId="13_ncr:1_{C2925800-487E-47A9-9872-382DE5D2ADD0}" xr6:coauthVersionLast="47" xr6:coauthVersionMax="47" xr10:uidLastSave="{00000000-0000-0000-0000-000000000000}"/>
  <bookViews>
    <workbookView xWindow="-120" yWindow="-120" windowWidth="29040" windowHeight="15720" tabRatio="500" activeTab="4" xr2:uid="{00000000-000D-0000-FFFF-FFFF00000000}"/>
  </bookViews>
  <sheets>
    <sheet name="SUPUESTOS" sheetId="1" r:id="rId1"/>
    <sheet name="Preparación_campo" sheetId="2" r:id="rId2"/>
    <sheet name="Laboratorio" sheetId="3" r:id="rId3"/>
    <sheet name="Informe_final" sheetId="4" r:id="rId4"/>
    <sheet name="Resumen" sheetId="5" r:id="rId5"/>
    <sheet name="Flujo_hitos" sheetId="6" r:id="rId6"/>
    <sheet name="Equipos" sheetId="7" r:id="rId7"/>
    <sheet name="Materiales" sheetId="8" r:id="rId8"/>
    <sheet name="Hoja1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0" i="1" l="1"/>
  <c r="C39" i="1"/>
  <c r="E6" i="8"/>
  <c r="E5" i="8"/>
  <c r="E4" i="8"/>
  <c r="E3" i="8"/>
  <c r="E2" i="8"/>
  <c r="E5" i="7"/>
  <c r="E4" i="7"/>
  <c r="E3" i="7"/>
  <c r="E2" i="7"/>
  <c r="D5" i="6"/>
  <c r="C5" i="6"/>
  <c r="E5" i="6" s="1"/>
  <c r="B20" i="5"/>
  <c r="D12" i="5"/>
  <c r="D11" i="5"/>
  <c r="D10" i="5"/>
  <c r="D13" i="5" s="1"/>
  <c r="F6" i="5"/>
  <c r="E6" i="5"/>
  <c r="F6" i="4"/>
  <c r="G6" i="4" s="1"/>
  <c r="F5" i="4"/>
  <c r="G5" i="4" s="1"/>
  <c r="F4" i="4"/>
  <c r="F7" i="3"/>
  <c r="G7" i="3" s="1"/>
  <c r="C7" i="3"/>
  <c r="F6" i="3"/>
  <c r="G6" i="3" s="1"/>
  <c r="C6" i="3"/>
  <c r="F5" i="3"/>
  <c r="C5" i="3"/>
  <c r="J35" i="2"/>
  <c r="H32" i="2"/>
  <c r="I32" i="2" s="1"/>
  <c r="H31" i="2"/>
  <c r="I31" i="2" s="1"/>
  <c r="H30" i="2"/>
  <c r="I30" i="2" s="1"/>
  <c r="H29" i="2"/>
  <c r="H26" i="2"/>
  <c r="I26" i="2" s="1"/>
  <c r="H25" i="2"/>
  <c r="I25" i="2" s="1"/>
  <c r="H24" i="2"/>
  <c r="I24" i="2" s="1"/>
  <c r="H23" i="2"/>
  <c r="I23" i="2" s="1"/>
  <c r="H22" i="2"/>
  <c r="H20" i="2"/>
  <c r="H19" i="2"/>
  <c r="I19" i="2" s="1"/>
  <c r="I18" i="2"/>
  <c r="H18" i="2"/>
  <c r="H11" i="2"/>
  <c r="I11" i="2" s="1"/>
  <c r="H10" i="2"/>
  <c r="I9" i="2"/>
  <c r="H9" i="2"/>
  <c r="H8" i="2"/>
  <c r="I8" i="2" s="1"/>
  <c r="H7" i="2"/>
  <c r="I7" i="2" s="1"/>
  <c r="H6" i="2"/>
  <c r="I6" i="2" s="1"/>
  <c r="H5" i="2"/>
  <c r="I5" i="2" s="1"/>
  <c r="C44" i="1"/>
  <c r="C42" i="1"/>
  <c r="C41" i="1"/>
  <c r="C37" i="1"/>
  <c r="C38" i="1" s="1"/>
  <c r="H15" i="2" s="1"/>
  <c r="I15" i="2" s="1"/>
  <c r="C31" i="1"/>
  <c r="H14" i="2" s="1"/>
  <c r="C21" i="1"/>
  <c r="I15" i="5" s="1"/>
  <c r="C18" i="1"/>
  <c r="C17" i="1"/>
  <c r="C19" i="1" s="1"/>
  <c r="F8" i="4" l="1"/>
  <c r="G4" i="4"/>
  <c r="G5" i="3"/>
  <c r="H33" i="2"/>
  <c r="I29" i="2"/>
  <c r="I22" i="2"/>
  <c r="H27" i="2"/>
  <c r="C12" i="6"/>
  <c r="E12" i="6" s="1"/>
  <c r="I20" i="2"/>
  <c r="H12" i="2"/>
  <c r="I10" i="2"/>
  <c r="I14" i="2"/>
  <c r="H16" i="2"/>
  <c r="C8" i="3"/>
  <c r="F8" i="3" s="1"/>
  <c r="A2" i="3"/>
  <c r="I5" i="5" l="1"/>
  <c r="D16" i="6"/>
  <c r="G8" i="4"/>
  <c r="C5" i="5"/>
  <c r="I33" i="2"/>
  <c r="C14" i="6"/>
  <c r="E14" i="6" s="1"/>
  <c r="I27" i="2"/>
  <c r="C13" i="6"/>
  <c r="E13" i="6" s="1"/>
  <c r="H35" i="2"/>
  <c r="C10" i="6"/>
  <c r="I12" i="2"/>
  <c r="I16" i="2"/>
  <c r="C11" i="6"/>
  <c r="E11" i="6" s="1"/>
  <c r="G8" i="3"/>
  <c r="F10" i="3"/>
  <c r="E16" i="6" l="1"/>
  <c r="D18" i="6"/>
  <c r="D5" i="5"/>
  <c r="C12" i="5"/>
  <c r="I35" i="2"/>
  <c r="I3" i="5"/>
  <c r="J20" i="2"/>
  <c r="C3" i="5"/>
  <c r="J12" i="2"/>
  <c r="J16" i="2"/>
  <c r="J27" i="2"/>
  <c r="J33" i="2"/>
  <c r="E10" i="6"/>
  <c r="C18" i="6"/>
  <c r="E18" i="6" s="1"/>
  <c r="C15" i="6"/>
  <c r="E15" i="6" s="1"/>
  <c r="I4" i="5"/>
  <c r="C4" i="5"/>
  <c r="G10" i="3"/>
  <c r="I14" i="5" s="1"/>
  <c r="C21" i="5" l="1"/>
  <c r="D21" i="5" s="1"/>
  <c r="D3" i="5"/>
  <c r="C6" i="5"/>
  <c r="C10" i="5"/>
  <c r="C11" i="5"/>
  <c r="D4" i="5"/>
  <c r="E11" i="5" l="1"/>
  <c r="C13" i="5"/>
  <c r="E10" i="5"/>
  <c r="D6" i="5"/>
  <c r="C17" i="5"/>
  <c r="E4" i="5"/>
  <c r="E5" i="5"/>
  <c r="E3" i="5"/>
  <c r="F11" i="5" l="1"/>
  <c r="E13" i="5"/>
  <c r="F10" i="5"/>
  <c r="D17" i="5"/>
  <c r="F12" i="5"/>
  <c r="F13" i="5" l="1"/>
  <c r="C18" i="5"/>
  <c r="C19" i="5" l="1"/>
  <c r="D18" i="5"/>
  <c r="D19" i="5" l="1"/>
  <c r="C20" i="5"/>
  <c r="C29" i="5"/>
  <c r="D29" i="5" s="1"/>
  <c r="C30" i="5"/>
  <c r="D30" i="5" s="1"/>
  <c r="D20" i="5" l="1"/>
  <c r="C28" i="5"/>
  <c r="C22" i="5"/>
  <c r="C6" i="6"/>
  <c r="D22" i="5"/>
  <c r="D6" i="6"/>
  <c r="I2" i="5"/>
  <c r="D28" i="5" l="1"/>
  <c r="D31" i="5" s="1"/>
  <c r="C31" i="5"/>
  <c r="E6" i="6"/>
  <c r="E7" i="6" s="1"/>
  <c r="C21" i="6"/>
  <c r="C7" i="6"/>
  <c r="D23" i="5"/>
  <c r="I13" i="5"/>
  <c r="I11" i="5"/>
  <c r="I12" i="5"/>
  <c r="D7" i="6"/>
  <c r="D21" i="6"/>
  <c r="I6" i="5"/>
  <c r="I8" i="5" s="1"/>
  <c r="I7" i="5"/>
  <c r="C22" i="6" l="1"/>
  <c r="E21" i="6"/>
  <c r="C23" i="6" l="1"/>
  <c r="D22" i="6"/>
  <c r="C26" i="6" s="1"/>
  <c r="C27" i="6" s="1"/>
  <c r="C28" i="6" l="1"/>
  <c r="E22" i="6"/>
  <c r="D23" i="6"/>
  <c r="C30" i="6" l="1"/>
  <c r="D30" i="6" s="1"/>
  <c r="E23" i="6"/>
</calcChain>
</file>

<file path=xl/sharedStrings.xml><?xml version="1.0" encoding="utf-8"?>
<sst xmlns="http://schemas.openxmlformats.org/spreadsheetml/2006/main" count="309" uniqueCount="244">
  <si>
    <t>HOJA DE SUPUESTOS — PARÁMETROS GENERALES</t>
  </si>
  <si>
    <t>PARÁMETROS GENERALES</t>
  </si>
  <si>
    <t>Cotización USD (Gs/USD)</t>
  </si>
  <si>
    <t>Tipo cambio BCP referencial</t>
  </si>
  <si>
    <t>Imprevisto (%)</t>
  </si>
  <si>
    <t>Colchón operativo sobre subtotal directo</t>
  </si>
  <si>
    <t>Retención IVA (%)</t>
  </si>
  <si>
    <t>Anticipo (%)</t>
  </si>
  <si>
    <t>Política comercial fija — todos los clientes</t>
  </si>
  <si>
    <t>Saldo contra entrega (%)</t>
  </si>
  <si>
    <t>Contra entrega de informe final</t>
  </si>
  <si>
    <t>DATOS DEL PROYECTO</t>
  </si>
  <si>
    <t>Nombre del proyecto</t>
  </si>
  <si>
    <t>Estancia Santa Isabel - Barrenada</t>
  </si>
  <si>
    <t>Nº Calicatas</t>
  </si>
  <si>
    <t>Muestras por calicata</t>
  </si>
  <si>
    <t>Nº Barrenadas</t>
  </si>
  <si>
    <t>Muestras por barrenada</t>
  </si>
  <si>
    <t>Total muestras calicatas</t>
  </si>
  <si>
    <t>Total muestras barrenadas</t>
  </si>
  <si>
    <t>Total muestras</t>
  </si>
  <si>
    <t>Superficie (ha)</t>
  </si>
  <si>
    <t>Densidad (ha/calicata)</t>
  </si>
  <si>
    <t>MOVILIDAD Y LOGÍSTICA</t>
  </si>
  <si>
    <t>Nº Vehículos</t>
  </si>
  <si>
    <t>Camionetas 4x4</t>
  </si>
  <si>
    <t>Días de campo</t>
  </si>
  <si>
    <t>Duración trabajo de campo</t>
  </si>
  <si>
    <t>Días totales (incl. traslado)</t>
  </si>
  <si>
    <t>Km por viaje (ida+vuelta)</t>
  </si>
  <si>
    <t>Nº Viajes</t>
  </si>
  <si>
    <t>Viajes totales durante el proyecto</t>
  </si>
  <si>
    <t>Consumo (L/100km)</t>
  </si>
  <si>
    <t>Consumo estimado camioneta 4x4</t>
  </si>
  <si>
    <t>Precio combustible (Gs/L)</t>
  </si>
  <si>
    <t>Precio actual gasoil</t>
  </si>
  <si>
    <t>Precio alquiler/día (Gs)</t>
  </si>
  <si>
    <t>110 USD/día × cotización</t>
  </si>
  <si>
    <t>Nº Personas equipo campo</t>
  </si>
  <si>
    <t>Para cálculo de viáticos</t>
  </si>
  <si>
    <t>Viático/persona/día (Gs)</t>
  </si>
  <si>
    <t>Alimentación</t>
  </si>
  <si>
    <t>Hospedaje/persona/día (Gs)</t>
  </si>
  <si>
    <t>Alojamiento rural</t>
  </si>
  <si>
    <t>CÁLCULOS AUXILIARES (no editar)</t>
  </si>
  <si>
    <t>Litros por viaje (1 vehículo)</t>
  </si>
  <si>
    <t>Litros con 20% reserva</t>
  </si>
  <si>
    <t>Costo combustible total</t>
  </si>
  <si>
    <t>Costo alquiler total</t>
  </si>
  <si>
    <t>Costo viáticos total</t>
  </si>
  <si>
    <t>Costo hospedaje total</t>
  </si>
  <si>
    <t>Verificación pagos (debe ser 100%)</t>
  </si>
  <si>
    <t>PREPARACIÓN / DESCRIPCIÓN DE CALICATAS — COSTOS DE CAMPO</t>
  </si>
  <si>
    <t>Nº</t>
  </si>
  <si>
    <t>Categoría</t>
  </si>
  <si>
    <t>Concepto</t>
  </si>
  <si>
    <t>Cant.</t>
  </si>
  <si>
    <t>Unidad</t>
  </si>
  <si>
    <t>Días</t>
  </si>
  <si>
    <t>Costo Unit. (Gs)</t>
  </si>
  <si>
    <t>Subtotal (Gs)</t>
  </si>
  <si>
    <t>Subtotal (USD)</t>
  </si>
  <si>
    <t>%</t>
  </si>
  <si>
    <t>HONORARIOS PROFESIONALES</t>
  </si>
  <si>
    <t>1.1</t>
  </si>
  <si>
    <t>Honorarios</t>
  </si>
  <si>
    <t>Dr. Arnulfo Encina</t>
  </si>
  <si>
    <t>Por calicata</t>
  </si>
  <si>
    <t>1.2</t>
  </si>
  <si>
    <t>David Leckie</t>
  </si>
  <si>
    <t>Honorario fijo</t>
  </si>
  <si>
    <t>1.3</t>
  </si>
  <si>
    <t>Técnico 2</t>
  </si>
  <si>
    <t>1.4</t>
  </si>
  <si>
    <t>Técnico 3</t>
  </si>
  <si>
    <t>1.5</t>
  </si>
  <si>
    <t>Ayudante 1</t>
  </si>
  <si>
    <t>1.6</t>
  </si>
  <si>
    <t>Ayudante 2</t>
  </si>
  <si>
    <t>1.7</t>
  </si>
  <si>
    <t>Ayudante 3</t>
  </si>
  <si>
    <t>Subtotal</t>
  </si>
  <si>
    <t>MOVILIDAD</t>
  </si>
  <si>
    <t>2.1</t>
  </si>
  <si>
    <t>Movilidad</t>
  </si>
  <si>
    <t>Alquiler de vehículo</t>
  </si>
  <si>
    <t>Camioneta 4x4</t>
  </si>
  <si>
    <t>2.2</t>
  </si>
  <si>
    <t>Combustible</t>
  </si>
  <si>
    <t>Global</t>
  </si>
  <si>
    <t>VIÁTICOS / HOSPEDAJE</t>
  </si>
  <si>
    <t>3.1</t>
  </si>
  <si>
    <t>Viáticos</t>
  </si>
  <si>
    <t>Consumición</t>
  </si>
  <si>
    <t>3.2</t>
  </si>
  <si>
    <t>Hospedaje</t>
  </si>
  <si>
    <t>USO DE EQUIPOS</t>
  </si>
  <si>
    <t>4.1</t>
  </si>
  <si>
    <t>Equipos</t>
  </si>
  <si>
    <t>Penetrómetro</t>
  </si>
  <si>
    <t>4.2</t>
  </si>
  <si>
    <t>Dron</t>
  </si>
  <si>
    <t>4.3</t>
  </si>
  <si>
    <t>Cilindro</t>
  </si>
  <si>
    <t>Paq. 10 cilindros</t>
  </si>
  <si>
    <t>4.4</t>
  </si>
  <si>
    <t>Cámara digital</t>
  </si>
  <si>
    <t>4.5</t>
  </si>
  <si>
    <t>Tablet</t>
  </si>
  <si>
    <t>OTROS GASTOS</t>
  </si>
  <si>
    <t>5.1</t>
  </si>
  <si>
    <t>Otros</t>
  </si>
  <si>
    <t>Gabinete (impresiones)</t>
  </si>
  <si>
    <t>5.2</t>
  </si>
  <si>
    <t>Materiales varios</t>
  </si>
  <si>
    <t>5.3</t>
  </si>
  <si>
    <t>Encomienda/documentos</t>
  </si>
  <si>
    <t>Envío</t>
  </si>
  <si>
    <t>5.4</t>
  </si>
  <si>
    <t>Encomienda/laboratorio</t>
  </si>
  <si>
    <t>TOTAL PREPARACIÓN DE CAMPO</t>
  </si>
  <si>
    <t>ANÁLISIS DE LABORATORIO</t>
  </si>
  <si>
    <t>Cantidad</t>
  </si>
  <si>
    <t>Costo unitario (Gs)</t>
  </si>
  <si>
    <t>Costo total (Gs)</t>
  </si>
  <si>
    <t>Costo total (USD)</t>
  </si>
  <si>
    <t>Químico COMPLETO + textura</t>
  </si>
  <si>
    <t>Muestra</t>
  </si>
  <si>
    <t>Químico Básico + textura</t>
  </si>
  <si>
    <t>Conductividad Eléctrica</t>
  </si>
  <si>
    <t>Densidad aparente</t>
  </si>
  <si>
    <t>TOTAL LABORATORIO</t>
  </si>
  <si>
    <t>INFORME FINAL — HONORARIOS DE GABINETE</t>
  </si>
  <si>
    <t>Trabajos SIG y Geoportal</t>
  </si>
  <si>
    <t>Consultor</t>
  </si>
  <si>
    <t>Informe técnico</t>
  </si>
  <si>
    <t>Traducción</t>
  </si>
  <si>
    <t>Traductor</t>
  </si>
  <si>
    <t>TOTAL INFORME FINAL</t>
  </si>
  <si>
    <t>CONSOLIDACIÓN DE COSTOS DIRECTOS</t>
  </si>
  <si>
    <t>ANÁLISIS DE MARGEN SOILTECH</t>
  </si>
  <si>
    <t>Descripción</t>
  </si>
  <si>
    <t>Costo directo (Gs)</t>
  </si>
  <si>
    <t>Costo directo (USD)</t>
  </si>
  <si>
    <t>Peso riesgo</t>
  </si>
  <si>
    <t>Total facturado (=Total proyecto)</t>
  </si>
  <si>
    <t>Preparación / descripción de campo</t>
  </si>
  <si>
    <t>(-) Costos campo (100%)</t>
  </si>
  <si>
    <t>Análisis de laboratorio</t>
  </si>
  <si>
    <t>(-) Costos laboratorio</t>
  </si>
  <si>
    <t>Informe final y gabinete</t>
  </si>
  <si>
    <t>(-) Costos informe final</t>
  </si>
  <si>
    <t>SUBTOTAL COSTOS DIRECTOS</t>
  </si>
  <si>
    <t>(=) Margen bruto</t>
  </si>
  <si>
    <t>Margen bruto (%)</t>
  </si>
  <si>
    <t>IMPREVISTO PONDERADO POR RIESGO</t>
  </si>
  <si>
    <t>Margen bruto (USD)</t>
  </si>
  <si>
    <t>Rubro</t>
  </si>
  <si>
    <t>Base imponible</t>
  </si>
  <si>
    <t>Imprevisto asignado (Gs)</t>
  </si>
  <si>
    <t>Imprevisto asignado (USD)</t>
  </si>
  <si>
    <t>Preparación campo</t>
  </si>
  <si>
    <t>RATIOS DEL PROYECTO</t>
  </si>
  <si>
    <t>Laboratorio</t>
  </si>
  <si>
    <t>Costo / hectárea (USD)</t>
  </si>
  <si>
    <t>Informe final</t>
  </si>
  <si>
    <t>Costo / calicata (USD)</t>
  </si>
  <si>
    <t>TOTAL IMPREVISTO</t>
  </si>
  <si>
    <t>Costo / muestra total (USD)</t>
  </si>
  <si>
    <t>Costo lab / muestra (USD)</t>
  </si>
  <si>
    <t>Densidad muestreo (ha/calicata)</t>
  </si>
  <si>
    <t>CÁLCULO DEL MONTO FINAL</t>
  </si>
  <si>
    <t>Subtotal costos directos</t>
  </si>
  <si>
    <t>Imprevisto ponderado</t>
  </si>
  <si>
    <t>Subtotal con imprevisto</t>
  </si>
  <si>
    <t>TOTAL PROYECTO</t>
  </si>
  <si>
    <t>MONTO A SOLICITAR (USD)</t>
  </si>
  <si>
    <t>DETALLE PARA PROPUESTA AL CLIENTE</t>
  </si>
  <si>
    <t>Descripción del servicio</t>
  </si>
  <si>
    <t>Costo (Gs)</t>
  </si>
  <si>
    <t>Costo (USD)</t>
  </si>
  <si>
    <t>a)</t>
  </si>
  <si>
    <t>Preparación de calicatas, descripción y muestreos, resistencia a la penetración.</t>
  </si>
  <si>
    <t>b)</t>
  </si>
  <si>
    <t>Análisis de Laboratorio con determinaciones químicas y físicas.</t>
  </si>
  <si>
    <t>c)</t>
  </si>
  <si>
    <t>Informe final, humedales, carbono orgánico, degradación, descripciones detalladas, cartografía.</t>
  </si>
  <si>
    <t>TOTAL (verificación = Total proyecto)</t>
  </si>
  <si>
    <t>FLUJO DE CAJA — ESTRUCTURA 50/50</t>
  </si>
  <si>
    <t>Anticipo (50%)
Inicio del proyecto</t>
  </si>
  <si>
    <t>Saldo (50%)
Contra entrega</t>
  </si>
  <si>
    <t>TOTAL</t>
  </si>
  <si>
    <t>INGRESOS (cobro al cliente)</t>
  </si>
  <si>
    <t>% del monto total</t>
  </si>
  <si>
    <t>Monto cobrado (Gs)</t>
  </si>
  <si>
    <t>Monto cobrado (USD)</t>
  </si>
  <si>
    <t>EGRESOS (costos por tramo)</t>
  </si>
  <si>
    <t>Honorarios campo</t>
  </si>
  <si>
    <t>Movilidad + combustible</t>
  </si>
  <si>
    <t>Viáticos + hospedaje</t>
  </si>
  <si>
    <t>Equipos de campo</t>
  </si>
  <si>
    <t>Otros gastos de campo</t>
  </si>
  <si>
    <t>Informe final + gabinete</t>
  </si>
  <si>
    <t>TOTAL EGRESOS</t>
  </si>
  <si>
    <t>POSICIÓN DE CAJA</t>
  </si>
  <si>
    <t>Saldo del tramo (Gs)</t>
  </si>
  <si>
    <t>Saldo acumulado (Gs)</t>
  </si>
  <si>
    <t>Saldo acumulado (USD)</t>
  </si>
  <si>
    <t>NECESIDAD DE CAPITAL DE TRABAJO</t>
  </si>
  <si>
    <t>Déficit máximo del proyecto (Gs)</t>
  </si>
  <si>
    <t>← Monto que SoilTech financia con capital propio</t>
  </si>
  <si>
    <t>Déficit máximo (USD)</t>
  </si>
  <si>
    <t>Recuperación del capital en tramo 2</t>
  </si>
  <si>
    <t>Margen final (= saldo acumulado final)</t>
  </si>
  <si>
    <t>#</t>
  </si>
  <si>
    <t>Equipo</t>
  </si>
  <si>
    <t>Costo adquisición</t>
  </si>
  <si>
    <t>Vida útil (meses)</t>
  </si>
  <si>
    <t>Costo uso/mes</t>
  </si>
  <si>
    <t>Precio unitario</t>
  </si>
  <si>
    <t>Costo</t>
  </si>
  <si>
    <t>Bolsa</t>
  </si>
  <si>
    <t>Grampas</t>
  </si>
  <si>
    <t>Pizarra</t>
  </si>
  <si>
    <t>Papel film</t>
  </si>
  <si>
    <t>Honorarios Profesional Senior</t>
  </si>
  <si>
    <t>Honorarios Coordinador Campo</t>
  </si>
  <si>
    <t>workspace</t>
  </si>
  <si>
    <t>claude</t>
  </si>
  <si>
    <t>gemini</t>
  </si>
  <si>
    <t>microsoft</t>
  </si>
  <si>
    <t>dominio</t>
  </si>
  <si>
    <t>arcgis</t>
  </si>
  <si>
    <t>mensual</t>
  </si>
  <si>
    <t>anual</t>
  </si>
  <si>
    <t>internet</t>
  </si>
  <si>
    <t>mantenimiento notebook</t>
  </si>
  <si>
    <t>DETALLE</t>
  </si>
  <si>
    <t>MONTO USD</t>
  </si>
  <si>
    <t>PLAN DE PAGO</t>
  </si>
  <si>
    <t>Margen</t>
  </si>
  <si>
    <t>Retención DNIT</t>
  </si>
  <si>
    <t>Campo + movilización</t>
  </si>
  <si>
    <t>Distancia al sitio + recorridos internos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</si>
</sst>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-"/>
    <numFmt numFmtId="165" formatCode="0.0%"/>
    <numFmt numFmtId="166" formatCode="#,##0.00;\(#,##0.00\);\-"/>
    <numFmt numFmtId="167" formatCode="#,##0.0"/>
  </numFmts>
  <fonts count="14" x14ac:knownFonts="1">
    <font>
      <sz val="11"/>
      <color theme="1"/>
      <name val="Calibri"/>
      <family val="2"/>
      <charset val="1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i/>
      <sz val="9"/>
      <color rgb="FF808080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8000"/>
      <name val="Arial"/>
      <family val="2"/>
    </font>
    <font>
      <b/>
      <sz val="14"/>
      <color rgb="FF008000"/>
      <name val="Arial"/>
      <family val="2"/>
    </font>
    <font>
      <b/>
      <sz val="12"/>
      <color rgb="FF008000"/>
      <name val="Arial"/>
      <family val="2"/>
    </font>
    <font>
      <b/>
      <sz val="14"/>
      <color rgb="FFC00000"/>
      <name val="Arial"/>
      <family val="2"/>
    </font>
    <font>
      <b/>
      <sz val="11"/>
      <color rgb="FFC00000"/>
      <name val="Arial"/>
      <family val="2"/>
    </font>
    <font>
      <b/>
      <sz val="11"/>
      <color rgb="FF008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2F5233"/>
        <bgColor rgb="FF1F4E3D"/>
      </patternFill>
    </fill>
    <fill>
      <patternFill patternType="solid">
        <fgColor rgb="FFD9E2D9"/>
        <bgColor rgb="FFD6DCE4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2EFDA"/>
      </patternFill>
    </fill>
    <fill>
      <patternFill patternType="solid">
        <fgColor rgb="FFE8D5F5"/>
        <bgColor rgb="FFD6DCE4"/>
      </patternFill>
    </fill>
    <fill>
      <patternFill patternType="solid">
        <fgColor rgb="FFDCE6F1"/>
        <bgColor rgb="FFD9E2D9"/>
      </patternFill>
    </fill>
    <fill>
      <patternFill patternType="solid">
        <fgColor rgb="FFFCE4D6"/>
        <bgColor rgb="FFFDE0DB"/>
      </patternFill>
    </fill>
    <fill>
      <patternFill patternType="solid">
        <fgColor rgb="FFE2EFDA"/>
        <bgColor rgb="FFDCE6F1"/>
      </patternFill>
    </fill>
    <fill>
      <patternFill patternType="solid">
        <fgColor rgb="FFD6DCE4"/>
        <bgColor rgb="FFD9E2D9"/>
      </patternFill>
    </fill>
    <fill>
      <patternFill patternType="solid">
        <fgColor rgb="FF1F4E3D"/>
        <bgColor rgb="FF2F5233"/>
      </patternFill>
    </fill>
    <fill>
      <patternFill patternType="solid">
        <fgColor rgb="FFFFF2CC"/>
        <bgColor rgb="FFFCE4D6"/>
      </patternFill>
    </fill>
    <fill>
      <patternFill patternType="solid">
        <fgColor rgb="FFFDE0DB"/>
        <bgColor rgb="FFFCE4D6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9" borderId="1" xfId="0" applyFont="1" applyFill="1" applyBorder="1"/>
    <xf numFmtId="0" fontId="2" fillId="13" borderId="1" xfId="0" applyFont="1" applyFill="1" applyBorder="1"/>
    <xf numFmtId="0" fontId="2" fillId="7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5" fillId="0" borderId="0" xfId="0" applyFont="1"/>
    <xf numFmtId="0" fontId="7" fillId="2" borderId="0" xfId="0" applyFont="1" applyFill="1" applyAlignment="1">
      <alignment horizontal="center"/>
    </xf>
    <xf numFmtId="0" fontId="7" fillId="2" borderId="1" xfId="0" applyFont="1" applyFill="1" applyBorder="1" applyAlignment="1">
      <alignment horizontal="right"/>
    </xf>
    <xf numFmtId="0" fontId="2" fillId="5" borderId="1" xfId="0" applyFont="1" applyFill="1" applyBorder="1" applyAlignment="1">
      <alignment horizontal="right"/>
    </xf>
    <xf numFmtId="0" fontId="2" fillId="3" borderId="1" xfId="0" applyFont="1" applyFill="1" applyBorder="1"/>
    <xf numFmtId="0" fontId="6" fillId="2" borderId="0" xfId="0" applyFont="1" applyFill="1" applyAlignment="1">
      <alignment horizontal="center"/>
    </xf>
    <xf numFmtId="0" fontId="2" fillId="3" borderId="0" xfId="0" applyFont="1" applyFill="1"/>
    <xf numFmtId="0" fontId="1" fillId="2" borderId="0" xfId="0" applyFont="1" applyFill="1" applyAlignment="1">
      <alignment horizontal="center"/>
    </xf>
    <xf numFmtId="0" fontId="0" fillId="3" borderId="0" xfId="0" applyFill="1"/>
    <xf numFmtId="0" fontId="3" fillId="0" borderId="0" xfId="0" applyFont="1"/>
    <xf numFmtId="164" fontId="4" fillId="4" borderId="1" xfId="0" applyNumberFormat="1" applyFont="1" applyFill="1" applyBorder="1"/>
    <xf numFmtId="0" fontId="5" fillId="0" borderId="0" xfId="0" applyFont="1"/>
    <xf numFmtId="165" fontId="4" fillId="4" borderId="1" xfId="0" applyNumberFormat="1" applyFont="1" applyFill="1" applyBorder="1"/>
    <xf numFmtId="165" fontId="4" fillId="0" borderId="1" xfId="0" applyNumberFormat="1" applyFont="1" applyBorder="1"/>
    <xf numFmtId="0" fontId="3" fillId="0" borderId="1" xfId="0" applyFont="1" applyBorder="1"/>
    <xf numFmtId="164" fontId="3" fillId="0" borderId="1" xfId="0" applyNumberFormat="1" applyFont="1" applyBorder="1"/>
    <xf numFmtId="164" fontId="2" fillId="0" borderId="1" xfId="0" applyNumberFormat="1" applyFont="1" applyBorder="1"/>
    <xf numFmtId="4" fontId="3" fillId="0" borderId="1" xfId="0" applyNumberFormat="1" applyFont="1" applyBorder="1"/>
    <xf numFmtId="4" fontId="4" fillId="4" borderId="1" xfId="0" applyNumberFormat="1" applyFont="1" applyFill="1" applyBorder="1"/>
    <xf numFmtId="4" fontId="3" fillId="5" borderId="1" xfId="0" applyNumberFormat="1" applyFont="1" applyFill="1" applyBorder="1"/>
    <xf numFmtId="164" fontId="3" fillId="5" borderId="1" xfId="0" applyNumberFormat="1" applyFont="1" applyFill="1" applyBorder="1"/>
    <xf numFmtId="165" fontId="3" fillId="0" borderId="1" xfId="0" applyNumberFormat="1" applyFont="1" applyBorder="1"/>
    <xf numFmtId="0" fontId="7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3" fillId="6" borderId="1" xfId="0" applyFont="1" applyFill="1" applyBorder="1"/>
    <xf numFmtId="164" fontId="0" fillId="6" borderId="1" xfId="0" applyNumberFormat="1" applyFill="1" applyBorder="1"/>
    <xf numFmtId="164" fontId="8" fillId="6" borderId="1" xfId="0" applyNumberFormat="1" applyFont="1" applyFill="1" applyBorder="1"/>
    <xf numFmtId="166" fontId="8" fillId="6" borderId="1" xfId="0" applyNumberFormat="1" applyFont="1" applyFill="1" applyBorder="1"/>
    <xf numFmtId="0" fontId="0" fillId="6" borderId="0" xfId="0" applyFill="1"/>
    <xf numFmtId="164" fontId="3" fillId="6" borderId="1" xfId="0" applyNumberFormat="1" applyFont="1" applyFill="1" applyBorder="1"/>
    <xf numFmtId="0" fontId="0" fillId="5" borderId="1" xfId="0" applyFill="1" applyBorder="1"/>
    <xf numFmtId="164" fontId="2" fillId="5" borderId="2" xfId="0" applyNumberFormat="1" applyFont="1" applyFill="1" applyBorder="1"/>
    <xf numFmtId="166" fontId="2" fillId="5" borderId="2" xfId="0" applyNumberFormat="1" applyFont="1" applyFill="1" applyBorder="1"/>
    <xf numFmtId="165" fontId="2" fillId="5" borderId="1" xfId="0" applyNumberFormat="1" applyFont="1" applyFill="1" applyBorder="1"/>
    <xf numFmtId="0" fontId="3" fillId="7" borderId="1" xfId="0" applyFont="1" applyFill="1" applyBorder="1"/>
    <xf numFmtId="164" fontId="0" fillId="7" borderId="1" xfId="0" applyNumberFormat="1" applyFill="1" applyBorder="1"/>
    <xf numFmtId="164" fontId="8" fillId="7" borderId="1" xfId="0" applyNumberFormat="1" applyFont="1" applyFill="1" applyBorder="1"/>
    <xf numFmtId="166" fontId="8" fillId="7" borderId="1" xfId="0" applyNumberFormat="1" applyFont="1" applyFill="1" applyBorder="1"/>
    <xf numFmtId="0" fontId="0" fillId="7" borderId="0" xfId="0" applyFill="1"/>
    <xf numFmtId="0" fontId="3" fillId="8" borderId="1" xfId="0" applyFont="1" applyFill="1" applyBorder="1"/>
    <xf numFmtId="164" fontId="0" fillId="8" borderId="1" xfId="0" applyNumberFormat="1" applyFill="1" applyBorder="1"/>
    <xf numFmtId="164" fontId="8" fillId="8" borderId="1" xfId="0" applyNumberFormat="1" applyFont="1" applyFill="1" applyBorder="1"/>
    <xf numFmtId="166" fontId="8" fillId="8" borderId="1" xfId="0" applyNumberFormat="1" applyFont="1" applyFill="1" applyBorder="1"/>
    <xf numFmtId="0" fontId="0" fillId="8" borderId="0" xfId="0" applyFill="1"/>
    <xf numFmtId="0" fontId="3" fillId="9" borderId="1" xfId="0" applyFont="1" applyFill="1" applyBorder="1"/>
    <xf numFmtId="164" fontId="0" fillId="9" borderId="1" xfId="0" applyNumberFormat="1" applyFill="1" applyBorder="1"/>
    <xf numFmtId="164" fontId="8" fillId="9" borderId="1" xfId="0" applyNumberFormat="1" applyFont="1" applyFill="1" applyBorder="1"/>
    <xf numFmtId="166" fontId="8" fillId="9" borderId="1" xfId="0" applyNumberFormat="1" applyFont="1" applyFill="1" applyBorder="1"/>
    <xf numFmtId="0" fontId="0" fillId="9" borderId="0" xfId="0" applyFill="1"/>
    <xf numFmtId="164" fontId="3" fillId="9" borderId="1" xfId="0" applyNumberFormat="1" applyFont="1" applyFill="1" applyBorder="1"/>
    <xf numFmtId="0" fontId="3" fillId="5" borderId="1" xfId="0" applyFont="1" applyFill="1" applyBorder="1"/>
    <xf numFmtId="166" fontId="8" fillId="5" borderId="1" xfId="0" applyNumberFormat="1" applyFont="1" applyFill="1" applyBorder="1"/>
    <xf numFmtId="0" fontId="0" fillId="5" borderId="0" xfId="0" applyFill="1"/>
    <xf numFmtId="164" fontId="0" fillId="5" borderId="1" xfId="0" applyNumberFormat="1" applyFill="1" applyBorder="1"/>
    <xf numFmtId="164" fontId="8" fillId="5" borderId="1" xfId="0" applyNumberFormat="1" applyFont="1" applyFill="1" applyBorder="1"/>
    <xf numFmtId="164" fontId="7" fillId="2" borderId="1" xfId="0" applyNumberFormat="1" applyFont="1" applyFill="1" applyBorder="1"/>
    <xf numFmtId="166" fontId="7" fillId="2" borderId="1" xfId="0" applyNumberFormat="1" applyFont="1" applyFill="1" applyBorder="1"/>
    <xf numFmtId="165" fontId="7" fillId="2" borderId="1" xfId="0" applyNumberFormat="1" applyFont="1" applyFill="1" applyBorder="1"/>
    <xf numFmtId="164" fontId="8" fillId="0" borderId="1" xfId="0" applyNumberFormat="1" applyFont="1" applyBorder="1"/>
    <xf numFmtId="166" fontId="8" fillId="0" borderId="1" xfId="0" applyNumberFormat="1" applyFont="1" applyBorder="1"/>
    <xf numFmtId="0" fontId="0" fillId="10" borderId="3" xfId="0" applyFill="1" applyBorder="1"/>
    <xf numFmtId="0" fontId="2" fillId="10" borderId="3" xfId="0" applyFont="1" applyFill="1" applyBorder="1"/>
    <xf numFmtId="164" fontId="2" fillId="10" borderId="3" xfId="0" applyNumberFormat="1" applyFont="1" applyFill="1" applyBorder="1"/>
    <xf numFmtId="166" fontId="2" fillId="10" borderId="3" xfId="0" applyNumberFormat="1" applyFont="1" applyFill="1" applyBorder="1"/>
    <xf numFmtId="165" fontId="2" fillId="10" borderId="3" xfId="0" applyNumberFormat="1" applyFont="1" applyFill="1" applyBorder="1"/>
    <xf numFmtId="0" fontId="2" fillId="9" borderId="1" xfId="0" applyFont="1" applyFill="1" applyBorder="1"/>
    <xf numFmtId="164" fontId="2" fillId="9" borderId="1" xfId="0" applyNumberFormat="1" applyFont="1" applyFill="1" applyBorder="1"/>
    <xf numFmtId="165" fontId="9" fillId="9" borderId="1" xfId="0" applyNumberFormat="1" applyFont="1" applyFill="1" applyBorder="1"/>
    <xf numFmtId="166" fontId="10" fillId="9" borderId="1" xfId="0" applyNumberFormat="1" applyFont="1" applyFill="1" applyBorder="1"/>
    <xf numFmtId="166" fontId="3" fillId="0" borderId="1" xfId="0" applyNumberFormat="1" applyFont="1" applyBorder="1"/>
    <xf numFmtId="166" fontId="2" fillId="0" borderId="1" xfId="0" applyNumberFormat="1" applyFont="1" applyBorder="1"/>
    <xf numFmtId="167" fontId="2" fillId="0" borderId="1" xfId="0" applyNumberFormat="1" applyFont="1" applyBorder="1"/>
    <xf numFmtId="0" fontId="1" fillId="11" borderId="4" xfId="0" applyFont="1" applyFill="1" applyBorder="1"/>
    <xf numFmtId="164" fontId="1" fillId="11" borderId="4" xfId="0" applyNumberFormat="1" applyFont="1" applyFill="1" applyBorder="1"/>
    <xf numFmtId="166" fontId="1" fillId="11" borderId="4" xfId="0" applyNumberFormat="1" applyFont="1" applyFill="1" applyBorder="1"/>
    <xf numFmtId="0" fontId="2" fillId="0" borderId="1" xfId="0" applyFont="1" applyBorder="1"/>
    <xf numFmtId="3" fontId="11" fillId="12" borderId="1" xfId="0" applyNumberFormat="1" applyFont="1" applyFill="1" applyBorder="1"/>
    <xf numFmtId="0" fontId="3" fillId="0" borderId="1" xfId="0" applyFont="1" applyBorder="1" applyAlignment="1">
      <alignment wrapText="1"/>
    </xf>
    <xf numFmtId="165" fontId="8" fillId="0" borderId="1" xfId="0" applyNumberFormat="1" applyFont="1" applyBorder="1"/>
    <xf numFmtId="165" fontId="2" fillId="0" borderId="1" xfId="0" applyNumberFormat="1" applyFont="1" applyBorder="1"/>
    <xf numFmtId="164" fontId="12" fillId="0" borderId="1" xfId="0" applyNumberFormat="1" applyFont="1" applyBorder="1"/>
    <xf numFmtId="166" fontId="12" fillId="0" borderId="1" xfId="0" applyNumberFormat="1" applyFont="1" applyBorder="1"/>
    <xf numFmtId="164" fontId="13" fillId="0" borderId="1" xfId="0" applyNumberFormat="1" applyFont="1" applyBorder="1"/>
    <xf numFmtId="164" fontId="9" fillId="9" borderId="1" xfId="0" applyNumberFormat="1" applyFont="1" applyFill="1" applyBorder="1"/>
    <xf numFmtId="166" fontId="9" fillId="9" borderId="1" xfId="0" applyNumberFormat="1" applyFont="1" applyFill="1" applyBorder="1"/>
    <xf numFmtId="0" fontId="4" fillId="4" borderId="1" xfId="0" applyFont="1" applyFill="1" applyBorder="1"/>
    <xf numFmtId="0" fontId="2" fillId="10" borderId="4" xfId="0" applyFont="1" applyFill="1" applyBorder="1"/>
    <xf numFmtId="164" fontId="2" fillId="10" borderId="4" xfId="0" applyNumberFormat="1" applyFont="1" applyFill="1" applyBorder="1"/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3" fillId="0" borderId="5" xfId="0" applyFont="1" applyBorder="1"/>
    <xf numFmtId="164" fontId="3" fillId="0" borderId="5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D9E2D9"/>
      <rgbColor rgb="FF808080"/>
      <rgbColor rgb="FF9999FF"/>
      <rgbColor rgb="FF993366"/>
      <rgbColor rgb="FFFFF2CC"/>
      <rgbColor rgb="FFDCE6F1"/>
      <rgbColor rgb="FF660066"/>
      <rgbColor rgb="FFD85A3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D6"/>
      <rgbColor rgb="FFE8D5F5"/>
      <rgbColor rgb="FFFF99CC"/>
      <rgbColor rgb="FFCC99FF"/>
      <rgbColor rgb="FFFDE0DB"/>
      <rgbColor rgb="FF378ADD"/>
      <rgbColor rgb="FF33CCCC"/>
      <rgbColor rgb="FF99CC00"/>
      <rgbColor rgb="FFFFCC00"/>
      <rgbColor rgb="FFFF9900"/>
      <rgbColor rgb="FFFF6600"/>
      <rgbColor rgb="FF534AB7"/>
      <rgbColor rgb="FF969696"/>
      <rgbColor rgb="FF003366"/>
      <rgbColor rgb="FF339966"/>
      <rgbColor rgb="FF003300"/>
      <rgbColor rgb="FF2F5233"/>
      <rgbColor rgb="FF993300"/>
      <rgbColor rgb="FF993366"/>
      <rgbColor rgb="FF333399"/>
      <rgbColor rgb="FF1F4E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E44"/>
  <sheetViews>
    <sheetView zoomScaleNormal="100" workbookViewId="0">
      <pane ySplit="2" topLeftCell="A15" activePane="bottomLeft" state="frozen"/>
      <selection pane="bottomLeft" activeCell="C41" sqref="C41"/>
    </sheetView>
  </sheetViews>
  <sheetFormatPr baseColWidth="10" defaultColWidth="8.7109375" defaultRowHeight="15" x14ac:dyDescent="0.25"/>
  <cols>
    <col min="1" max="1" width="5" customWidth="1"/>
    <col min="2" max="2" width="35" customWidth="1"/>
    <col min="3" max="3" width="29" customWidth="1"/>
    <col min="4" max="4" width="15" customWidth="1"/>
    <col min="5" max="5" width="35" customWidth="1"/>
  </cols>
  <sheetData>
    <row r="1" spans="1:5" ht="15" customHeight="1" x14ac:dyDescent="0.25">
      <c r="A1" s="13" t="s">
        <v>0</v>
      </c>
      <c r="B1" s="13"/>
      <c r="C1" s="13"/>
      <c r="D1" s="13"/>
      <c r="E1" s="13"/>
    </row>
    <row r="3" spans="1:5" ht="15" customHeight="1" x14ac:dyDescent="0.25">
      <c r="A3" s="14"/>
      <c r="B3" s="12" t="s">
        <v>1</v>
      </c>
      <c r="C3" s="12"/>
      <c r="D3" s="14"/>
      <c r="E3" s="14"/>
    </row>
    <row r="4" spans="1:5" ht="15" customHeight="1" x14ac:dyDescent="0.25">
      <c r="B4" s="15" t="s">
        <v>2</v>
      </c>
      <c r="C4" s="16">
        <v>6500</v>
      </c>
      <c r="E4" s="17" t="s">
        <v>3</v>
      </c>
    </row>
    <row r="5" spans="1:5" ht="15" customHeight="1" x14ac:dyDescent="0.25">
      <c r="B5" s="15" t="s">
        <v>4</v>
      </c>
      <c r="C5" s="18">
        <v>0.1</v>
      </c>
      <c r="E5" s="17" t="s">
        <v>5</v>
      </c>
    </row>
    <row r="6" spans="1:5" ht="15" customHeight="1" x14ac:dyDescent="0.25">
      <c r="B6" s="15" t="s">
        <v>6</v>
      </c>
      <c r="C6" s="18">
        <v>7.0000000000000007E-2</v>
      </c>
      <c r="E6" s="17" t="s">
        <v>241</v>
      </c>
    </row>
    <row r="7" spans="1:5" ht="15" customHeight="1" x14ac:dyDescent="0.25">
      <c r="B7" s="15" t="s">
        <v>7</v>
      </c>
      <c r="C7" s="18">
        <v>0.5</v>
      </c>
      <c r="E7" s="17" t="s">
        <v>8</v>
      </c>
    </row>
    <row r="8" spans="1:5" ht="15" customHeight="1" x14ac:dyDescent="0.25">
      <c r="B8" s="15" t="s">
        <v>9</v>
      </c>
      <c r="C8" s="18">
        <v>0.5</v>
      </c>
      <c r="E8" s="17" t="s">
        <v>10</v>
      </c>
    </row>
    <row r="9" spans="1:5" ht="15" customHeight="1" x14ac:dyDescent="0.25">
      <c r="B9" s="15"/>
      <c r="C9" s="19"/>
      <c r="E9" s="17"/>
    </row>
    <row r="11" spans="1:5" ht="15" customHeight="1" x14ac:dyDescent="0.25">
      <c r="A11" s="14"/>
      <c r="B11" s="12" t="s">
        <v>11</v>
      </c>
      <c r="C11" s="12"/>
      <c r="D11" s="14"/>
      <c r="E11" s="14"/>
    </row>
    <row r="12" spans="1:5" ht="15" customHeight="1" x14ac:dyDescent="0.25">
      <c r="B12" s="15" t="s">
        <v>12</v>
      </c>
      <c r="C12" s="20" t="s">
        <v>13</v>
      </c>
    </row>
    <row r="13" spans="1:5" ht="15" customHeight="1" x14ac:dyDescent="0.25">
      <c r="B13" s="15" t="s">
        <v>14</v>
      </c>
      <c r="C13" s="16">
        <v>11</v>
      </c>
    </row>
    <row r="14" spans="1:5" ht="15" customHeight="1" x14ac:dyDescent="0.25">
      <c r="B14" s="15" t="s">
        <v>15</v>
      </c>
      <c r="C14" s="16">
        <v>3</v>
      </c>
    </row>
    <row r="15" spans="1:5" ht="15" customHeight="1" x14ac:dyDescent="0.25">
      <c r="B15" s="15" t="s">
        <v>16</v>
      </c>
      <c r="C15" s="16">
        <v>11</v>
      </c>
    </row>
    <row r="16" spans="1:5" ht="15" customHeight="1" x14ac:dyDescent="0.25">
      <c r="B16" s="15" t="s">
        <v>17</v>
      </c>
      <c r="C16" s="16">
        <v>1</v>
      </c>
    </row>
    <row r="17" spans="1:5" ht="15" customHeight="1" x14ac:dyDescent="0.25">
      <c r="B17" s="15" t="s">
        <v>18</v>
      </c>
      <c r="C17" s="21">
        <f>C13*C14</f>
        <v>33</v>
      </c>
    </row>
    <row r="18" spans="1:5" ht="15" customHeight="1" x14ac:dyDescent="0.25">
      <c r="B18" s="15" t="s">
        <v>19</v>
      </c>
      <c r="C18" s="21">
        <f>C15*C16</f>
        <v>11</v>
      </c>
    </row>
    <row r="19" spans="1:5" ht="15" customHeight="1" x14ac:dyDescent="0.25">
      <c r="B19" s="15" t="s">
        <v>20</v>
      </c>
      <c r="C19" s="22">
        <f>C17+C18</f>
        <v>44</v>
      </c>
    </row>
    <row r="20" spans="1:5" ht="15" customHeight="1" x14ac:dyDescent="0.25">
      <c r="B20" s="15" t="s">
        <v>21</v>
      </c>
      <c r="C20" s="16">
        <v>2000</v>
      </c>
    </row>
    <row r="21" spans="1:5" ht="15" customHeight="1" x14ac:dyDescent="0.25">
      <c r="B21" s="15" t="s">
        <v>22</v>
      </c>
      <c r="C21" s="23">
        <f>IF(C13=0,0,C20/C13)</f>
        <v>181.81818181818181</v>
      </c>
    </row>
    <row r="23" spans="1:5" ht="15" customHeight="1" x14ac:dyDescent="0.25">
      <c r="A23" s="14"/>
      <c r="B23" s="12" t="s">
        <v>23</v>
      </c>
      <c r="C23" s="12"/>
      <c r="D23" s="14"/>
      <c r="E23" s="14"/>
    </row>
    <row r="24" spans="1:5" ht="15" customHeight="1" x14ac:dyDescent="0.25">
      <c r="B24" s="15" t="s">
        <v>24</v>
      </c>
      <c r="C24" s="16">
        <v>2</v>
      </c>
      <c r="E24" s="17" t="s">
        <v>25</v>
      </c>
    </row>
    <row r="25" spans="1:5" ht="15" customHeight="1" x14ac:dyDescent="0.25">
      <c r="B25" s="15" t="s">
        <v>26</v>
      </c>
      <c r="C25" s="16">
        <v>4</v>
      </c>
      <c r="E25" s="17" t="s">
        <v>27</v>
      </c>
    </row>
    <row r="26" spans="1:5" ht="15" customHeight="1" x14ac:dyDescent="0.25">
      <c r="B26" s="15" t="s">
        <v>28</v>
      </c>
      <c r="C26" s="16">
        <v>5</v>
      </c>
      <c r="E26" s="17" t="s">
        <v>242</v>
      </c>
    </row>
    <row r="27" spans="1:5" ht="15" customHeight="1" x14ac:dyDescent="0.25">
      <c r="B27" s="15" t="s">
        <v>29</v>
      </c>
      <c r="C27" s="16">
        <v>350</v>
      </c>
      <c r="E27" s="17" t="s">
        <v>243</v>
      </c>
    </row>
    <row r="28" spans="1:5" ht="15" customHeight="1" x14ac:dyDescent="0.25">
      <c r="B28" s="15" t="s">
        <v>30</v>
      </c>
      <c r="C28" s="16">
        <v>2</v>
      </c>
      <c r="E28" s="17" t="s">
        <v>31</v>
      </c>
    </row>
    <row r="29" spans="1:5" ht="15" customHeight="1" x14ac:dyDescent="0.25">
      <c r="B29" s="15" t="s">
        <v>32</v>
      </c>
      <c r="C29" s="24">
        <v>12</v>
      </c>
      <c r="E29" s="17" t="s">
        <v>33</v>
      </c>
    </row>
    <row r="30" spans="1:5" ht="15" customHeight="1" x14ac:dyDescent="0.25">
      <c r="B30" s="15" t="s">
        <v>34</v>
      </c>
      <c r="C30" s="16">
        <v>9000</v>
      </c>
      <c r="E30" s="17" t="s">
        <v>35</v>
      </c>
    </row>
    <row r="31" spans="1:5" ht="15" customHeight="1" x14ac:dyDescent="0.25">
      <c r="B31" s="15" t="s">
        <v>36</v>
      </c>
      <c r="C31" s="21">
        <f>110*C4</f>
        <v>715000</v>
      </c>
      <c r="E31" s="17" t="s">
        <v>37</v>
      </c>
    </row>
    <row r="32" spans="1:5" ht="15" customHeight="1" x14ac:dyDescent="0.25">
      <c r="B32" s="15" t="s">
        <v>38</v>
      </c>
      <c r="C32" s="16">
        <v>4</v>
      </c>
      <c r="E32" s="17" t="s">
        <v>39</v>
      </c>
    </row>
    <row r="33" spans="1:5" ht="15" customHeight="1" x14ac:dyDescent="0.25">
      <c r="B33" s="15" t="s">
        <v>40</v>
      </c>
      <c r="C33" s="16">
        <v>100000</v>
      </c>
      <c r="E33" s="17" t="s">
        <v>41</v>
      </c>
    </row>
    <row r="34" spans="1:5" ht="15" customHeight="1" x14ac:dyDescent="0.25">
      <c r="B34" s="15" t="s">
        <v>42</v>
      </c>
      <c r="C34" s="16">
        <v>100000</v>
      </c>
      <c r="E34" s="17" t="s">
        <v>43</v>
      </c>
    </row>
    <row r="36" spans="1:5" ht="15" customHeight="1" x14ac:dyDescent="0.25">
      <c r="A36" s="14"/>
      <c r="B36" s="12" t="s">
        <v>44</v>
      </c>
      <c r="C36" s="12"/>
      <c r="D36" s="14"/>
      <c r="E36" s="14"/>
    </row>
    <row r="37" spans="1:5" ht="15" customHeight="1" x14ac:dyDescent="0.25">
      <c r="B37" s="15" t="s">
        <v>45</v>
      </c>
      <c r="C37" s="25">
        <f>C29*(C27/100)</f>
        <v>42</v>
      </c>
    </row>
    <row r="38" spans="1:5" ht="15" customHeight="1" x14ac:dyDescent="0.25">
      <c r="B38" s="15" t="s">
        <v>46</v>
      </c>
      <c r="C38" s="25">
        <f>C37*1.2</f>
        <v>50.4</v>
      </c>
    </row>
    <row r="39" spans="1:5" ht="15" customHeight="1" x14ac:dyDescent="0.25">
      <c r="B39" s="15" t="s">
        <v>47</v>
      </c>
      <c r="C39" s="26">
        <f>C38*C28*C30*C24</f>
        <v>1814400</v>
      </c>
    </row>
    <row r="40" spans="1:5" ht="15" customHeight="1" x14ac:dyDescent="0.25">
      <c r="B40" s="15" t="s">
        <v>48</v>
      </c>
      <c r="C40" s="26">
        <f>C31*C25*C24</f>
        <v>5720000</v>
      </c>
    </row>
    <row r="41" spans="1:5" ht="15" customHeight="1" x14ac:dyDescent="0.25">
      <c r="B41" s="15" t="s">
        <v>49</v>
      </c>
      <c r="C41" s="26">
        <f>C33*C32*C26</f>
        <v>2000000</v>
      </c>
    </row>
    <row r="42" spans="1:5" ht="15" customHeight="1" x14ac:dyDescent="0.25">
      <c r="B42" s="15" t="s">
        <v>50</v>
      </c>
      <c r="C42" s="26">
        <f>C34*C32*C26</f>
        <v>2000000</v>
      </c>
    </row>
    <row r="44" spans="1:5" ht="15" customHeight="1" x14ac:dyDescent="0.25">
      <c r="B44" s="15" t="s">
        <v>51</v>
      </c>
      <c r="C44" s="27">
        <f>C7+C8</f>
        <v>1</v>
      </c>
    </row>
  </sheetData>
  <mergeCells count="5">
    <mergeCell ref="A1:E1"/>
    <mergeCell ref="B3:C3"/>
    <mergeCell ref="B11:C11"/>
    <mergeCell ref="B23:C23"/>
    <mergeCell ref="B36:C3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34AB7"/>
  </sheetPr>
  <dimension ref="A1:J35"/>
  <sheetViews>
    <sheetView zoomScaleNormal="100" workbookViewId="0">
      <pane ySplit="3" topLeftCell="A4" activePane="bottomLeft" state="frozen"/>
      <selection pane="bottomLeft" activeCell="H27" sqref="H27"/>
    </sheetView>
  </sheetViews>
  <sheetFormatPr baseColWidth="10" defaultColWidth="8.7109375" defaultRowHeight="15" x14ac:dyDescent="0.25"/>
  <cols>
    <col min="1" max="1" width="6" customWidth="1"/>
    <col min="2" max="2" width="30.140625" customWidth="1"/>
    <col min="3" max="3" width="30" customWidth="1"/>
    <col min="4" max="4" width="10" customWidth="1"/>
    <col min="5" max="5" width="18" customWidth="1"/>
    <col min="6" max="6" width="10" customWidth="1"/>
    <col min="7" max="7" width="16" customWidth="1"/>
    <col min="8" max="8" width="18" customWidth="1"/>
    <col min="9" max="9" width="14" customWidth="1"/>
    <col min="10" max="10" width="8" customWidth="1"/>
  </cols>
  <sheetData>
    <row r="1" spans="1:10" ht="15" customHeight="1" x14ac:dyDescent="0.25">
      <c r="A1" s="11" t="s">
        <v>52</v>
      </c>
      <c r="B1" s="11"/>
      <c r="C1" s="11"/>
      <c r="D1" s="11"/>
      <c r="E1" s="11"/>
      <c r="F1" s="11"/>
      <c r="G1" s="11"/>
      <c r="H1" s="11"/>
      <c r="I1" s="11"/>
      <c r="J1" s="11"/>
    </row>
    <row r="3" spans="1:10" ht="15" customHeight="1" x14ac:dyDescent="0.25">
      <c r="A3" s="28" t="s">
        <v>53</v>
      </c>
      <c r="B3" s="28" t="s">
        <v>54</v>
      </c>
      <c r="C3" s="28" t="s">
        <v>55</v>
      </c>
      <c r="D3" s="28" t="s">
        <v>56</v>
      </c>
      <c r="E3" s="28" t="s">
        <v>57</v>
      </c>
      <c r="F3" s="28" t="s">
        <v>58</v>
      </c>
      <c r="G3" s="28" t="s">
        <v>59</v>
      </c>
      <c r="H3" s="28" t="s">
        <v>60</v>
      </c>
      <c r="I3" s="28" t="s">
        <v>61</v>
      </c>
      <c r="J3" s="28" t="s">
        <v>62</v>
      </c>
    </row>
    <row r="4" spans="1:10" ht="15" customHeight="1" x14ac:dyDescent="0.25">
      <c r="A4" s="29"/>
      <c r="B4" s="10" t="s">
        <v>63</v>
      </c>
      <c r="C4" s="10"/>
      <c r="D4" s="10"/>
      <c r="E4" s="10"/>
      <c r="F4" s="10"/>
      <c r="G4" s="10"/>
      <c r="H4" s="10"/>
      <c r="I4" s="10"/>
      <c r="J4" s="10"/>
    </row>
    <row r="5" spans="1:10" ht="15" customHeight="1" x14ac:dyDescent="0.25">
      <c r="A5" s="30" t="s">
        <v>64</v>
      </c>
      <c r="B5" s="30" t="s">
        <v>225</v>
      </c>
      <c r="C5" s="30" t="s">
        <v>66</v>
      </c>
      <c r="D5" s="16">
        <v>1</v>
      </c>
      <c r="E5" s="30" t="s">
        <v>67</v>
      </c>
      <c r="F5" s="31"/>
      <c r="G5" s="16">
        <v>1500000</v>
      </c>
      <c r="H5" s="32">
        <f>G5*SUPUESTOS!C13</f>
        <v>16500000</v>
      </c>
      <c r="I5" s="33">
        <f>H5/SUPUESTOS!$C$4</f>
        <v>2538.4615384615386</v>
      </c>
      <c r="J5" s="34"/>
    </row>
    <row r="6" spans="1:10" ht="15" customHeight="1" x14ac:dyDescent="0.25">
      <c r="A6" s="30" t="s">
        <v>68</v>
      </c>
      <c r="B6" s="30" t="s">
        <v>226</v>
      </c>
      <c r="C6" s="30" t="s">
        <v>69</v>
      </c>
      <c r="D6" s="16">
        <v>1</v>
      </c>
      <c r="E6" s="30" t="s">
        <v>70</v>
      </c>
      <c r="F6" s="16">
        <v>1</v>
      </c>
      <c r="G6" s="16">
        <v>5000000</v>
      </c>
      <c r="H6" s="35">
        <f t="shared" ref="H6:H11" si="0">D6*F6*G6</f>
        <v>5000000</v>
      </c>
      <c r="I6" s="33">
        <f>H6/SUPUESTOS!$C$4</f>
        <v>769.23076923076928</v>
      </c>
      <c r="J6" s="34"/>
    </row>
    <row r="7" spans="1:10" ht="15" customHeight="1" x14ac:dyDescent="0.25">
      <c r="A7" s="30" t="s">
        <v>71</v>
      </c>
      <c r="B7" s="30" t="s">
        <v>65</v>
      </c>
      <c r="C7" s="30" t="s">
        <v>72</v>
      </c>
      <c r="D7" s="16">
        <v>1</v>
      </c>
      <c r="E7" s="30" t="s">
        <v>70</v>
      </c>
      <c r="F7" s="16">
        <v>1</v>
      </c>
      <c r="G7" s="16">
        <v>2000000</v>
      </c>
      <c r="H7" s="35">
        <f t="shared" si="0"/>
        <v>2000000</v>
      </c>
      <c r="I7" s="33">
        <f>H7/SUPUESTOS!$C$4</f>
        <v>307.69230769230768</v>
      </c>
      <c r="J7" s="34"/>
    </row>
    <row r="8" spans="1:10" ht="15" customHeight="1" x14ac:dyDescent="0.25">
      <c r="A8" s="30" t="s">
        <v>73</v>
      </c>
      <c r="B8" s="30" t="s">
        <v>65</v>
      </c>
      <c r="C8" s="30" t="s">
        <v>74</v>
      </c>
      <c r="D8" s="16">
        <v>0</v>
      </c>
      <c r="E8" s="30" t="s">
        <v>70</v>
      </c>
      <c r="F8" s="16">
        <v>0</v>
      </c>
      <c r="G8" s="16">
        <v>0</v>
      </c>
      <c r="H8" s="35">
        <f t="shared" si="0"/>
        <v>0</v>
      </c>
      <c r="I8" s="33">
        <f>H8/SUPUESTOS!$C$4</f>
        <v>0</v>
      </c>
      <c r="J8" s="34"/>
    </row>
    <row r="9" spans="1:10" ht="15" customHeight="1" x14ac:dyDescent="0.25">
      <c r="A9" s="30" t="s">
        <v>75</v>
      </c>
      <c r="B9" s="30" t="s">
        <v>65</v>
      </c>
      <c r="C9" s="30" t="s">
        <v>76</v>
      </c>
      <c r="D9" s="16">
        <v>1</v>
      </c>
      <c r="E9" s="30" t="s">
        <v>70</v>
      </c>
      <c r="F9" s="16">
        <v>1</v>
      </c>
      <c r="G9" s="16">
        <v>600000</v>
      </c>
      <c r="H9" s="35">
        <f t="shared" si="0"/>
        <v>600000</v>
      </c>
      <c r="I9" s="33">
        <f>H9/SUPUESTOS!$C$4</f>
        <v>92.307692307692307</v>
      </c>
      <c r="J9" s="34"/>
    </row>
    <row r="10" spans="1:10" ht="15" customHeight="1" x14ac:dyDescent="0.25">
      <c r="A10" s="30" t="s">
        <v>77</v>
      </c>
      <c r="B10" s="30" t="s">
        <v>65</v>
      </c>
      <c r="C10" s="30" t="s">
        <v>78</v>
      </c>
      <c r="D10" s="16">
        <v>1</v>
      </c>
      <c r="E10" s="30" t="s">
        <v>70</v>
      </c>
      <c r="F10" s="16">
        <v>1</v>
      </c>
      <c r="G10" s="16">
        <v>600000</v>
      </c>
      <c r="H10" s="35">
        <f t="shared" si="0"/>
        <v>600000</v>
      </c>
      <c r="I10" s="33">
        <f>H10/SUPUESTOS!$C$4</f>
        <v>92.307692307692307</v>
      </c>
      <c r="J10" s="34"/>
    </row>
    <row r="11" spans="1:10" ht="15" customHeight="1" x14ac:dyDescent="0.25">
      <c r="A11" s="30" t="s">
        <v>79</v>
      </c>
      <c r="B11" s="30" t="s">
        <v>65</v>
      </c>
      <c r="C11" s="30" t="s">
        <v>80</v>
      </c>
      <c r="D11" s="16">
        <v>0</v>
      </c>
      <c r="E11" s="30" t="s">
        <v>70</v>
      </c>
      <c r="F11" s="16">
        <v>0</v>
      </c>
      <c r="G11" s="16">
        <v>0</v>
      </c>
      <c r="H11" s="35">
        <f t="shared" si="0"/>
        <v>0</v>
      </c>
      <c r="I11" s="33">
        <f>H11/SUPUESTOS!$C$4</f>
        <v>0</v>
      </c>
      <c r="J11" s="34"/>
    </row>
    <row r="12" spans="1:10" ht="15" customHeight="1" x14ac:dyDescent="0.25">
      <c r="A12" s="36"/>
      <c r="B12" s="9" t="s">
        <v>81</v>
      </c>
      <c r="C12" s="9"/>
      <c r="D12" s="9"/>
      <c r="E12" s="9"/>
      <c r="F12" s="9"/>
      <c r="G12" s="9"/>
      <c r="H12" s="37">
        <f>SUM(H5:H11)</f>
        <v>24700000</v>
      </c>
      <c r="I12" s="38">
        <f>H12/SUPUESTOS!$C$4</f>
        <v>3800</v>
      </c>
      <c r="J12" s="39">
        <f>IF(H$35=0,0,H12/H$35)</f>
        <v>0.63239357126276174</v>
      </c>
    </row>
    <row r="13" spans="1:10" ht="15" customHeight="1" x14ac:dyDescent="0.25">
      <c r="A13" s="29"/>
      <c r="B13" s="10" t="s">
        <v>82</v>
      </c>
      <c r="C13" s="10"/>
      <c r="D13" s="10"/>
      <c r="E13" s="10"/>
      <c r="F13" s="10"/>
      <c r="G13" s="10"/>
      <c r="H13" s="10"/>
      <c r="I13" s="10"/>
      <c r="J13" s="10"/>
    </row>
    <row r="14" spans="1:10" ht="15" customHeight="1" x14ac:dyDescent="0.25">
      <c r="A14" s="40" t="s">
        <v>83</v>
      </c>
      <c r="B14" s="40" t="s">
        <v>84</v>
      </c>
      <c r="C14" s="40" t="s">
        <v>85</v>
      </c>
      <c r="D14" s="41"/>
      <c r="E14" s="40" t="s">
        <v>86</v>
      </c>
      <c r="F14" s="41"/>
      <c r="G14" s="41"/>
      <c r="H14" s="42">
        <f>SUPUESTOS!C40</f>
        <v>5720000</v>
      </c>
      <c r="I14" s="43">
        <f>H14/SUPUESTOS!$C$4</f>
        <v>880</v>
      </c>
      <c r="J14" s="44"/>
    </row>
    <row r="15" spans="1:10" ht="15" customHeight="1" x14ac:dyDescent="0.25">
      <c r="A15" s="40" t="s">
        <v>87</v>
      </c>
      <c r="B15" s="40" t="s">
        <v>84</v>
      </c>
      <c r="C15" s="40" t="s">
        <v>88</v>
      </c>
      <c r="D15" s="41"/>
      <c r="E15" s="40" t="s">
        <v>89</v>
      </c>
      <c r="F15" s="41"/>
      <c r="G15" s="41"/>
      <c r="H15" s="42">
        <f>SUPUESTOS!C39</f>
        <v>1814400</v>
      </c>
      <c r="I15" s="43">
        <f>H15/SUPUESTOS!$C$4</f>
        <v>279.13846153846151</v>
      </c>
      <c r="J15" s="44"/>
    </row>
    <row r="16" spans="1:10" ht="15" customHeight="1" x14ac:dyDescent="0.25">
      <c r="A16" s="36"/>
      <c r="B16" s="9" t="s">
        <v>81</v>
      </c>
      <c r="C16" s="9"/>
      <c r="D16" s="9"/>
      <c r="E16" s="9"/>
      <c r="F16" s="9"/>
      <c r="G16" s="9"/>
      <c r="H16" s="37">
        <f>SUM(H14:H15)</f>
        <v>7534400</v>
      </c>
      <c r="I16" s="38">
        <f>H16/SUPUESTOS!$C$4</f>
        <v>1159.1384615384616</v>
      </c>
      <c r="J16" s="39">
        <f>IF(H$35=0,0,H16/H$35)</f>
        <v>0.1929030819158766</v>
      </c>
    </row>
    <row r="17" spans="1:10" ht="15" customHeight="1" x14ac:dyDescent="0.25">
      <c r="A17" s="29"/>
      <c r="B17" s="10" t="s">
        <v>90</v>
      </c>
      <c r="C17" s="10"/>
      <c r="D17" s="10"/>
      <c r="E17" s="10"/>
      <c r="F17" s="10"/>
      <c r="G17" s="10"/>
      <c r="H17" s="10"/>
      <c r="I17" s="10"/>
      <c r="J17" s="10"/>
    </row>
    <row r="18" spans="1:10" ht="15" customHeight="1" x14ac:dyDescent="0.25">
      <c r="A18" s="45" t="s">
        <v>91</v>
      </c>
      <c r="B18" s="45" t="s">
        <v>92</v>
      </c>
      <c r="C18" s="45" t="s">
        <v>93</v>
      </c>
      <c r="D18" s="46"/>
      <c r="E18" s="45" t="s">
        <v>89</v>
      </c>
      <c r="F18" s="46"/>
      <c r="G18" s="46"/>
      <c r="H18" s="47">
        <f>SUPUESTOS!C41</f>
        <v>2000000</v>
      </c>
      <c r="I18" s="48">
        <f>H18/SUPUESTOS!$C$4</f>
        <v>307.69230769230768</v>
      </c>
      <c r="J18" s="49"/>
    </row>
    <row r="19" spans="1:10" ht="15" customHeight="1" x14ac:dyDescent="0.25">
      <c r="A19" s="45" t="s">
        <v>94</v>
      </c>
      <c r="B19" s="45" t="s">
        <v>92</v>
      </c>
      <c r="C19" s="45" t="s">
        <v>95</v>
      </c>
      <c r="D19" s="46"/>
      <c r="E19" s="45" t="s">
        <v>89</v>
      </c>
      <c r="F19" s="46"/>
      <c r="G19" s="46"/>
      <c r="H19" s="47">
        <f>SUPUESTOS!C42</f>
        <v>2000000</v>
      </c>
      <c r="I19" s="48">
        <f>H19/SUPUESTOS!$C$4</f>
        <v>307.69230769230768</v>
      </c>
      <c r="J19" s="49"/>
    </row>
    <row r="20" spans="1:10" ht="15" customHeight="1" x14ac:dyDescent="0.25">
      <c r="A20" s="36"/>
      <c r="B20" s="9" t="s">
        <v>81</v>
      </c>
      <c r="C20" s="9"/>
      <c r="D20" s="9"/>
      <c r="E20" s="9"/>
      <c r="F20" s="9"/>
      <c r="G20" s="9"/>
      <c r="H20" s="37">
        <f>SUM(H18:H19)</f>
        <v>4000000</v>
      </c>
      <c r="I20" s="38">
        <f>H20/SUPUESTOS!$C$4</f>
        <v>615.38461538461536</v>
      </c>
      <c r="J20" s="39">
        <f>IF(H$35=0,0,H20/H$35)</f>
        <v>0.10241191437453631</v>
      </c>
    </row>
    <row r="21" spans="1:10" ht="15" customHeight="1" x14ac:dyDescent="0.25">
      <c r="A21" s="29"/>
      <c r="B21" s="10" t="s">
        <v>96</v>
      </c>
      <c r="C21" s="10"/>
      <c r="D21" s="10"/>
      <c r="E21" s="10"/>
      <c r="F21" s="10"/>
      <c r="G21" s="10"/>
      <c r="H21" s="10"/>
      <c r="I21" s="10"/>
      <c r="J21" s="10"/>
    </row>
    <row r="22" spans="1:10" ht="15" customHeight="1" x14ac:dyDescent="0.25">
      <c r="A22" s="50" t="s">
        <v>97</v>
      </c>
      <c r="B22" s="50" t="s">
        <v>98</v>
      </c>
      <c r="C22" s="50" t="s">
        <v>99</v>
      </c>
      <c r="D22" s="16">
        <v>2</v>
      </c>
      <c r="E22" s="50" t="s">
        <v>57</v>
      </c>
      <c r="F22" s="16">
        <v>1</v>
      </c>
      <c r="G22" s="51"/>
      <c r="H22" s="52">
        <f>D22*F22*Equipos!E2</f>
        <v>208000</v>
      </c>
      <c r="I22" s="53">
        <f>H22/SUPUESTOS!$C$4</f>
        <v>32</v>
      </c>
      <c r="J22" s="54"/>
    </row>
    <row r="23" spans="1:10" ht="15" customHeight="1" x14ac:dyDescent="0.25">
      <c r="A23" s="50" t="s">
        <v>100</v>
      </c>
      <c r="B23" s="50" t="s">
        <v>98</v>
      </c>
      <c r="C23" s="50" t="s">
        <v>101</v>
      </c>
      <c r="D23" s="16">
        <v>1</v>
      </c>
      <c r="E23" s="50" t="s">
        <v>57</v>
      </c>
      <c r="F23" s="16">
        <v>8</v>
      </c>
      <c r="G23" s="51"/>
      <c r="H23" s="52">
        <f>D23*F23*Equipos!E3</f>
        <v>1066666.6666666667</v>
      </c>
      <c r="I23" s="53">
        <f>H23/SUPUESTOS!$C$4</f>
        <v>164.10256410256412</v>
      </c>
      <c r="J23" s="54"/>
    </row>
    <row r="24" spans="1:10" ht="15" customHeight="1" x14ac:dyDescent="0.25">
      <c r="A24" s="50" t="s">
        <v>102</v>
      </c>
      <c r="B24" s="50" t="s">
        <v>98</v>
      </c>
      <c r="C24" s="50" t="s">
        <v>103</v>
      </c>
      <c r="D24" s="16">
        <v>0</v>
      </c>
      <c r="E24" s="50" t="s">
        <v>104</v>
      </c>
      <c r="F24" s="16">
        <v>0</v>
      </c>
      <c r="G24" s="16">
        <v>40000</v>
      </c>
      <c r="H24" s="55">
        <f>D24*F24*G24</f>
        <v>0</v>
      </c>
      <c r="I24" s="53">
        <f>H24/SUPUESTOS!$C$4</f>
        <v>0</v>
      </c>
      <c r="J24" s="54"/>
    </row>
    <row r="25" spans="1:10" ht="15" customHeight="1" x14ac:dyDescent="0.25">
      <c r="A25" s="50" t="s">
        <v>105</v>
      </c>
      <c r="B25" s="50" t="s">
        <v>98</v>
      </c>
      <c r="C25" s="50" t="s">
        <v>106</v>
      </c>
      <c r="D25" s="16">
        <v>1</v>
      </c>
      <c r="E25" s="50" t="s">
        <v>57</v>
      </c>
      <c r="F25" s="16">
        <v>8</v>
      </c>
      <c r="G25" s="51"/>
      <c r="H25" s="52">
        <f>D25*F25*Equipos!E4</f>
        <v>400000</v>
      </c>
      <c r="I25" s="53">
        <f>H25/SUPUESTOS!$C$4</f>
        <v>61.53846153846154</v>
      </c>
      <c r="J25" s="54"/>
    </row>
    <row r="26" spans="1:10" ht="15" customHeight="1" x14ac:dyDescent="0.25">
      <c r="A26" s="50" t="s">
        <v>107</v>
      </c>
      <c r="B26" s="50" t="s">
        <v>98</v>
      </c>
      <c r="C26" s="50" t="s">
        <v>108</v>
      </c>
      <c r="D26" s="16">
        <v>1</v>
      </c>
      <c r="E26" s="50" t="s">
        <v>57</v>
      </c>
      <c r="F26" s="16">
        <v>8</v>
      </c>
      <c r="G26" s="51"/>
      <c r="H26" s="52">
        <f>D26*F26*Equipos!E5</f>
        <v>488888.88888888888</v>
      </c>
      <c r="I26" s="53">
        <f>H26/SUPUESTOS!$C$4</f>
        <v>75.213675213675216</v>
      </c>
      <c r="J26" s="54"/>
    </row>
    <row r="27" spans="1:10" ht="15" customHeight="1" x14ac:dyDescent="0.25">
      <c r="A27" s="36"/>
      <c r="B27" s="9" t="s">
        <v>81</v>
      </c>
      <c r="C27" s="9"/>
      <c r="D27" s="9"/>
      <c r="E27" s="9"/>
      <c r="F27" s="9"/>
      <c r="G27" s="9"/>
      <c r="H27" s="37">
        <f>SUM(H22:H26)</f>
        <v>2163555.5555555555</v>
      </c>
      <c r="I27" s="38">
        <f>H27/SUPUESTOS!$C$4</f>
        <v>332.85470085470087</v>
      </c>
      <c r="J27" s="39">
        <f>IF(H$35=0,0,H27/H$35)</f>
        <v>5.5393466575026973E-2</v>
      </c>
    </row>
    <row r="28" spans="1:10" ht="15" customHeight="1" x14ac:dyDescent="0.25">
      <c r="A28" s="29"/>
      <c r="B28" s="10" t="s">
        <v>109</v>
      </c>
      <c r="C28" s="10"/>
      <c r="D28" s="10"/>
      <c r="E28" s="10"/>
      <c r="F28" s="10"/>
      <c r="G28" s="10"/>
      <c r="H28" s="10"/>
      <c r="I28" s="10"/>
      <c r="J28" s="10"/>
    </row>
    <row r="29" spans="1:10" ht="15" customHeight="1" x14ac:dyDescent="0.25">
      <c r="A29" s="56" t="s">
        <v>110</v>
      </c>
      <c r="B29" s="56" t="s">
        <v>111</v>
      </c>
      <c r="C29" s="56" t="s">
        <v>112</v>
      </c>
      <c r="D29" s="16">
        <v>0</v>
      </c>
      <c r="E29" s="56" t="s">
        <v>89</v>
      </c>
      <c r="F29" s="16">
        <v>1</v>
      </c>
      <c r="G29" s="16">
        <v>100000</v>
      </c>
      <c r="H29" s="26">
        <f>D29*F29*G29</f>
        <v>0</v>
      </c>
      <c r="I29" s="57">
        <f>H29/SUPUESTOS!$C$4</f>
        <v>0</v>
      </c>
      <c r="J29" s="58"/>
    </row>
    <row r="30" spans="1:10" ht="15" customHeight="1" x14ac:dyDescent="0.25">
      <c r="A30" s="56" t="s">
        <v>113</v>
      </c>
      <c r="B30" s="56" t="s">
        <v>111</v>
      </c>
      <c r="C30" s="56" t="s">
        <v>114</v>
      </c>
      <c r="D30" s="16">
        <v>1</v>
      </c>
      <c r="E30" s="56" t="s">
        <v>89</v>
      </c>
      <c r="F30" s="16">
        <v>1</v>
      </c>
      <c r="G30" s="59"/>
      <c r="H30" s="60">
        <f>Materiales!E6</f>
        <v>380000</v>
      </c>
      <c r="I30" s="57">
        <f>H30/SUPUESTOS!$C$4</f>
        <v>58.46153846153846</v>
      </c>
      <c r="J30" s="58"/>
    </row>
    <row r="31" spans="1:10" ht="15" customHeight="1" x14ac:dyDescent="0.25">
      <c r="A31" s="56" t="s">
        <v>115</v>
      </c>
      <c r="B31" s="56" t="s">
        <v>111</v>
      </c>
      <c r="C31" s="56" t="s">
        <v>116</v>
      </c>
      <c r="D31" s="16">
        <v>1</v>
      </c>
      <c r="E31" s="56" t="s">
        <v>117</v>
      </c>
      <c r="F31" s="16">
        <v>4</v>
      </c>
      <c r="G31" s="16">
        <v>30000</v>
      </c>
      <c r="H31" s="26">
        <f>D31*F31*G31</f>
        <v>120000</v>
      </c>
      <c r="I31" s="57">
        <f>H31/SUPUESTOS!$C$4</f>
        <v>18.46153846153846</v>
      </c>
      <c r="J31" s="58"/>
    </row>
    <row r="32" spans="1:10" ht="15" customHeight="1" x14ac:dyDescent="0.25">
      <c r="A32" s="56" t="s">
        <v>118</v>
      </c>
      <c r="B32" s="56" t="s">
        <v>111</v>
      </c>
      <c r="C32" s="56" t="s">
        <v>119</v>
      </c>
      <c r="D32" s="16">
        <v>1</v>
      </c>
      <c r="E32" s="56" t="s">
        <v>117</v>
      </c>
      <c r="F32" s="16">
        <v>4</v>
      </c>
      <c r="G32" s="16">
        <v>40000</v>
      </c>
      <c r="H32" s="26">
        <f>D32*F32*G32</f>
        <v>160000</v>
      </c>
      <c r="I32" s="57">
        <f>H32/SUPUESTOS!$C$4</f>
        <v>24.615384615384617</v>
      </c>
      <c r="J32" s="58"/>
    </row>
    <row r="33" spans="1:10" ht="15" customHeight="1" x14ac:dyDescent="0.25">
      <c r="A33" s="36"/>
      <c r="B33" s="9" t="s">
        <v>81</v>
      </c>
      <c r="C33" s="9"/>
      <c r="D33" s="9"/>
      <c r="E33" s="9"/>
      <c r="F33" s="9"/>
      <c r="G33" s="9"/>
      <c r="H33" s="37">
        <f>SUM(H29:H32)</f>
        <v>660000</v>
      </c>
      <c r="I33" s="38">
        <f>H33/SUPUESTOS!$C$4</f>
        <v>101.53846153846153</v>
      </c>
      <c r="J33" s="39">
        <f>IF(H$35=0,0,H33/H$35)</f>
        <v>1.6897965871798492E-2</v>
      </c>
    </row>
    <row r="35" spans="1:10" ht="15" customHeight="1" x14ac:dyDescent="0.25">
      <c r="A35" s="8" t="s">
        <v>120</v>
      </c>
      <c r="B35" s="8"/>
      <c r="C35" s="8"/>
      <c r="D35" s="8"/>
      <c r="E35" s="8"/>
      <c r="F35" s="8"/>
      <c r="G35" s="8"/>
      <c r="H35" s="61">
        <f>H12+H16+H20+H27+H33</f>
        <v>39057955.555555552</v>
      </c>
      <c r="I35" s="62">
        <f>H35/SUPUESTOS!$C$4</f>
        <v>6008.9162393162387</v>
      </c>
      <c r="J35" s="63">
        <f>1</f>
        <v>1</v>
      </c>
    </row>
  </sheetData>
  <mergeCells count="12">
    <mergeCell ref="B33:G33"/>
    <mergeCell ref="A35:G35"/>
    <mergeCell ref="B17:J17"/>
    <mergeCell ref="B20:G20"/>
    <mergeCell ref="B21:J21"/>
    <mergeCell ref="B27:G27"/>
    <mergeCell ref="B28:J28"/>
    <mergeCell ref="A1:J1"/>
    <mergeCell ref="B4:J4"/>
    <mergeCell ref="B12:G12"/>
    <mergeCell ref="B13:J13"/>
    <mergeCell ref="B16:G1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78ADD"/>
  </sheetPr>
  <dimension ref="A1:G10"/>
  <sheetViews>
    <sheetView zoomScaleNormal="100" workbookViewId="0">
      <pane ySplit="4" topLeftCell="A5" activePane="bottomLeft" state="frozen"/>
      <selection pane="bottomLeft" sqref="A1:G1"/>
    </sheetView>
  </sheetViews>
  <sheetFormatPr baseColWidth="10" defaultColWidth="8.7109375" defaultRowHeight="15" x14ac:dyDescent="0.25"/>
  <cols>
    <col min="1" max="1" width="6" customWidth="1"/>
    <col min="2" max="2" width="35" customWidth="1"/>
    <col min="3" max="4" width="14" customWidth="1"/>
    <col min="5" max="6" width="18" customWidth="1"/>
    <col min="7" max="7" width="14" customWidth="1"/>
  </cols>
  <sheetData>
    <row r="1" spans="1:7" ht="15" customHeight="1" x14ac:dyDescent="0.25">
      <c r="A1" s="7" t="s">
        <v>121</v>
      </c>
      <c r="B1" s="7"/>
      <c r="C1" s="7"/>
      <c r="D1" s="7"/>
      <c r="E1" s="7"/>
      <c r="F1" s="7"/>
      <c r="G1" s="7"/>
    </row>
    <row r="2" spans="1:7" ht="15" customHeight="1" x14ac:dyDescent="0.25">
      <c r="A2" s="6" t="str">
        <f>CONCATENATE("Calicatas: ",SUPUESTOS!C13," × ",SUPUESTOS!C14," muestras = ",SUPUESTOS!C17," | Barrenadas: ",SUPUESTOS!C15," × ",SUPUESTOS!C16," = ",SUPUESTOS!C18," | Total: ",SUPUESTOS!C19)</f>
        <v>Calicatas: 11 × 3 muestras = 33 | Barrenadas: 11 × 1 = 11 | Total: 44</v>
      </c>
      <c r="B2" s="6"/>
      <c r="C2" s="6"/>
      <c r="D2" s="6"/>
      <c r="E2" s="6"/>
      <c r="F2" s="6"/>
      <c r="G2" s="6"/>
    </row>
    <row r="4" spans="1:7" ht="23.25" customHeight="1" x14ac:dyDescent="0.25">
      <c r="A4" s="28" t="s">
        <v>53</v>
      </c>
      <c r="B4" s="28" t="s">
        <v>55</v>
      </c>
      <c r="C4" s="28" t="s">
        <v>122</v>
      </c>
      <c r="D4" s="28" t="s">
        <v>57</v>
      </c>
      <c r="E4" s="28" t="s">
        <v>123</v>
      </c>
      <c r="F4" s="28" t="s">
        <v>124</v>
      </c>
      <c r="G4" s="28" t="s">
        <v>125</v>
      </c>
    </row>
    <row r="5" spans="1:7" ht="15" customHeight="1" x14ac:dyDescent="0.25">
      <c r="A5" s="20">
        <v>1</v>
      </c>
      <c r="B5" s="20" t="s">
        <v>126</v>
      </c>
      <c r="C5" s="64">
        <f>SUPUESTOS!C17</f>
        <v>33</v>
      </c>
      <c r="D5" s="20" t="s">
        <v>127</v>
      </c>
      <c r="E5" s="16">
        <v>255000</v>
      </c>
      <c r="F5" s="21">
        <f>C5*E5</f>
        <v>8415000</v>
      </c>
      <c r="G5" s="65">
        <f>F5/SUPUESTOS!$C$4</f>
        <v>1294.6153846153845</v>
      </c>
    </row>
    <row r="6" spans="1:7" ht="15" customHeight="1" x14ac:dyDescent="0.25">
      <c r="A6" s="20">
        <v>2</v>
      </c>
      <c r="B6" s="20" t="s">
        <v>128</v>
      </c>
      <c r="C6" s="64">
        <f>SUPUESTOS!C18</f>
        <v>11</v>
      </c>
      <c r="D6" s="20" t="s">
        <v>127</v>
      </c>
      <c r="E6" s="16">
        <v>190000</v>
      </c>
      <c r="F6" s="21">
        <f>C6*E6</f>
        <v>2090000</v>
      </c>
      <c r="G6" s="65">
        <f>F6/SUPUESTOS!$C$4</f>
        <v>321.53846153846155</v>
      </c>
    </row>
    <row r="7" spans="1:7" ht="15" customHeight="1" x14ac:dyDescent="0.25">
      <c r="A7" s="20">
        <v>3</v>
      </c>
      <c r="B7" s="20" t="s">
        <v>129</v>
      </c>
      <c r="C7" s="64">
        <f>SUPUESTOS!C17</f>
        <v>33</v>
      </c>
      <c r="D7" s="20" t="s">
        <v>127</v>
      </c>
      <c r="E7" s="16">
        <v>55000</v>
      </c>
      <c r="F7" s="21">
        <f>C7*E7</f>
        <v>1815000</v>
      </c>
      <c r="G7" s="65">
        <f>F7/SUPUESTOS!$C$4</f>
        <v>279.23076923076923</v>
      </c>
    </row>
    <row r="8" spans="1:7" ht="15" customHeight="1" x14ac:dyDescent="0.25">
      <c r="A8" s="20">
        <v>4</v>
      </c>
      <c r="B8" s="20" t="s">
        <v>130</v>
      </c>
      <c r="C8" s="64">
        <f>SUPUESTOS!C19</f>
        <v>44</v>
      </c>
      <c r="D8" s="20" t="s">
        <v>127</v>
      </c>
      <c r="E8" s="16">
        <v>75000</v>
      </c>
      <c r="F8" s="21">
        <f>C8*E8</f>
        <v>3300000</v>
      </c>
      <c r="G8" s="65">
        <f>F8/SUPUESTOS!$C$4</f>
        <v>507.69230769230768</v>
      </c>
    </row>
    <row r="10" spans="1:7" ht="15" customHeight="1" x14ac:dyDescent="0.25">
      <c r="A10" s="8" t="s">
        <v>131</v>
      </c>
      <c r="B10" s="8"/>
      <c r="C10" s="8"/>
      <c r="D10" s="8"/>
      <c r="E10" s="8"/>
      <c r="F10" s="61">
        <f>SUM(F5:F8)</f>
        <v>15620000</v>
      </c>
      <c r="G10" s="62">
        <f>F10/SUPUESTOS!$C$4</f>
        <v>2403.0769230769229</v>
      </c>
    </row>
  </sheetData>
  <mergeCells count="3">
    <mergeCell ref="A1:G1"/>
    <mergeCell ref="A2:G2"/>
    <mergeCell ref="A10:E1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85A30"/>
  </sheetPr>
  <dimension ref="A1:G8"/>
  <sheetViews>
    <sheetView zoomScaleNormal="100" workbookViewId="0">
      <pane ySplit="3" topLeftCell="A4" activePane="bottomLeft" state="frozen"/>
      <selection pane="bottomLeft" sqref="A1:G1"/>
    </sheetView>
  </sheetViews>
  <sheetFormatPr baseColWidth="10" defaultColWidth="8.7109375" defaultRowHeight="15" x14ac:dyDescent="0.25"/>
  <cols>
    <col min="1" max="1" width="6" customWidth="1"/>
    <col min="2" max="2" width="35" customWidth="1"/>
    <col min="3" max="4" width="14" customWidth="1"/>
    <col min="5" max="6" width="18" customWidth="1"/>
    <col min="7" max="7" width="14" customWidth="1"/>
  </cols>
  <sheetData>
    <row r="1" spans="1:7" ht="15" customHeight="1" x14ac:dyDescent="0.25">
      <c r="A1" s="7" t="s">
        <v>132</v>
      </c>
      <c r="B1" s="7"/>
      <c r="C1" s="7"/>
      <c r="D1" s="7"/>
      <c r="E1" s="7"/>
      <c r="F1" s="7"/>
      <c r="G1" s="7"/>
    </row>
    <row r="3" spans="1:7" ht="23.25" customHeight="1" x14ac:dyDescent="0.25">
      <c r="A3" s="28" t="s">
        <v>53</v>
      </c>
      <c r="B3" s="28" t="s">
        <v>55</v>
      </c>
      <c r="C3" s="28" t="s">
        <v>122</v>
      </c>
      <c r="D3" s="28" t="s">
        <v>57</v>
      </c>
      <c r="E3" s="28" t="s">
        <v>123</v>
      </c>
      <c r="F3" s="28" t="s">
        <v>124</v>
      </c>
      <c r="G3" s="28" t="s">
        <v>125</v>
      </c>
    </row>
    <row r="4" spans="1:7" ht="15" customHeight="1" x14ac:dyDescent="0.25">
      <c r="A4" s="20">
        <v>1</v>
      </c>
      <c r="B4" s="20" t="s">
        <v>133</v>
      </c>
      <c r="C4" s="16">
        <v>1</v>
      </c>
      <c r="D4" s="20" t="s">
        <v>134</v>
      </c>
      <c r="E4" s="16">
        <v>1000000</v>
      </c>
      <c r="F4" s="21">
        <f>C4*E4</f>
        <v>1000000</v>
      </c>
      <c r="G4" s="65">
        <f>F4/SUPUESTOS!$C$4</f>
        <v>153.84615384615384</v>
      </c>
    </row>
    <row r="5" spans="1:7" ht="15" customHeight="1" x14ac:dyDescent="0.25">
      <c r="A5" s="20">
        <v>2</v>
      </c>
      <c r="B5" s="20" t="s">
        <v>135</v>
      </c>
      <c r="C5" s="16">
        <v>2</v>
      </c>
      <c r="D5" s="20" t="s">
        <v>134</v>
      </c>
      <c r="E5" s="16">
        <v>7000000</v>
      </c>
      <c r="F5" s="21">
        <f>C5*E5</f>
        <v>14000000</v>
      </c>
      <c r="G5" s="65">
        <f>F5/SUPUESTOS!$C$4</f>
        <v>2153.8461538461538</v>
      </c>
    </row>
    <row r="6" spans="1:7" ht="15" customHeight="1" x14ac:dyDescent="0.25">
      <c r="A6" s="20">
        <v>3</v>
      </c>
      <c r="B6" s="20" t="s">
        <v>136</v>
      </c>
      <c r="C6" s="16">
        <v>0</v>
      </c>
      <c r="D6" s="20" t="s">
        <v>137</v>
      </c>
      <c r="E6" s="16">
        <v>1950000</v>
      </c>
      <c r="F6" s="21">
        <f>C6*E6</f>
        <v>0</v>
      </c>
      <c r="G6" s="65">
        <f>F6/SUPUESTOS!$C$4</f>
        <v>0</v>
      </c>
    </row>
    <row r="8" spans="1:7" ht="15" customHeight="1" x14ac:dyDescent="0.25">
      <c r="A8" s="8" t="s">
        <v>138</v>
      </c>
      <c r="B8" s="8"/>
      <c r="C8" s="8"/>
      <c r="D8" s="8"/>
      <c r="E8" s="8"/>
      <c r="F8" s="61">
        <f>SUM(F4:F6)</f>
        <v>15000000</v>
      </c>
      <c r="G8" s="62">
        <f>F8/SUPUESTOS!$C$4</f>
        <v>2307.6923076923076</v>
      </c>
    </row>
  </sheetData>
  <mergeCells count="2">
    <mergeCell ref="A1:G1"/>
    <mergeCell ref="A8:E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I31"/>
  <sheetViews>
    <sheetView tabSelected="1" zoomScaleNormal="100" workbookViewId="0">
      <pane ySplit="1" topLeftCell="A2" activePane="bottomLeft" state="frozen"/>
      <selection pane="bottomLeft" activeCell="F28" sqref="F28"/>
    </sheetView>
  </sheetViews>
  <sheetFormatPr baseColWidth="10" defaultColWidth="8.7109375" defaultRowHeight="15" x14ac:dyDescent="0.25"/>
  <cols>
    <col min="1" max="1" width="5" customWidth="1"/>
    <col min="2" max="2" width="42" customWidth="1"/>
    <col min="3" max="3" width="18" customWidth="1"/>
    <col min="4" max="4" width="24" customWidth="1"/>
    <col min="5" max="5" width="14.42578125" customWidth="1"/>
    <col min="6" max="6" width="18" customWidth="1"/>
    <col min="7" max="7" width="5" customWidth="1"/>
    <col min="8" max="8" width="35" customWidth="1"/>
    <col min="9" max="9" width="18" customWidth="1"/>
  </cols>
  <sheetData>
    <row r="1" spans="1:9" ht="15" customHeight="1" x14ac:dyDescent="0.25">
      <c r="A1" s="94" t="s">
        <v>139</v>
      </c>
      <c r="B1" s="94"/>
      <c r="C1" s="94"/>
      <c r="D1" s="94"/>
      <c r="E1" s="94"/>
      <c r="F1" s="94"/>
      <c r="H1" s="4" t="s">
        <v>140</v>
      </c>
      <c r="I1" s="4"/>
    </row>
    <row r="2" spans="1:9" ht="15" customHeight="1" x14ac:dyDescent="0.25">
      <c r="A2" s="28" t="s">
        <v>53</v>
      </c>
      <c r="B2" s="28" t="s">
        <v>141</v>
      </c>
      <c r="C2" s="28" t="s">
        <v>142</v>
      </c>
      <c r="D2" s="28" t="s">
        <v>143</v>
      </c>
      <c r="E2" s="28" t="s">
        <v>62</v>
      </c>
      <c r="F2" s="28" t="s">
        <v>144</v>
      </c>
      <c r="H2" s="20" t="s">
        <v>145</v>
      </c>
      <c r="I2" s="21">
        <f>C22</f>
        <v>88348761.711111113</v>
      </c>
    </row>
    <row r="3" spans="1:9" ht="15" customHeight="1" x14ac:dyDescent="0.25">
      <c r="A3" s="20">
        <v>1</v>
      </c>
      <c r="B3" s="20" t="s">
        <v>146</v>
      </c>
      <c r="C3" s="64">
        <f>Preparación_campo!H35</f>
        <v>39057955.555555552</v>
      </c>
      <c r="D3" s="65">
        <f>C3/SUPUESTOS!$C$4</f>
        <v>6008.9162393162387</v>
      </c>
      <c r="E3" s="27">
        <f>IF($C$6=0,0,C3/$C$6)</f>
        <v>0.56054967807449385</v>
      </c>
      <c r="F3" s="18">
        <v>0.6</v>
      </c>
      <c r="H3" s="20" t="s">
        <v>147</v>
      </c>
      <c r="I3" s="21">
        <f>-Preparación_campo!H35</f>
        <v>-39057955.555555552</v>
      </c>
    </row>
    <row r="4" spans="1:9" ht="15" customHeight="1" x14ac:dyDescent="0.25">
      <c r="A4" s="20">
        <v>2</v>
      </c>
      <c r="B4" s="20" t="s">
        <v>148</v>
      </c>
      <c r="C4" s="64">
        <f>Laboratorio!F10</f>
        <v>15620000</v>
      </c>
      <c r="D4" s="65">
        <f>C4/SUPUESTOS!$C$4</f>
        <v>2403.0769230769229</v>
      </c>
      <c r="E4" s="27">
        <f>IF($C$6=0,0,C4/$C$6)</f>
        <v>0.22417420079936012</v>
      </c>
      <c r="F4" s="18">
        <v>0.15</v>
      </c>
      <c r="H4" s="20" t="s">
        <v>149</v>
      </c>
      <c r="I4" s="21">
        <f>-Laboratorio!F10</f>
        <v>-15620000</v>
      </c>
    </row>
    <row r="5" spans="1:9" ht="15" customHeight="1" x14ac:dyDescent="0.25">
      <c r="A5" s="20">
        <v>3</v>
      </c>
      <c r="B5" s="20" t="s">
        <v>150</v>
      </c>
      <c r="C5" s="64">
        <f>Informe_final!F8</f>
        <v>15000000</v>
      </c>
      <c r="D5" s="65">
        <f>C5/SUPUESTOS!$C$4</f>
        <v>2307.6923076923076</v>
      </c>
      <c r="E5" s="27">
        <f>IF($C$6=0,0,C5/$C$6)</f>
        <v>0.21527612112614608</v>
      </c>
      <c r="F5" s="18">
        <v>0.25</v>
      </c>
      <c r="H5" s="20" t="s">
        <v>151</v>
      </c>
      <c r="I5" s="21">
        <f>-Informe_final!F8</f>
        <v>-15000000</v>
      </c>
    </row>
    <row r="6" spans="1:9" ht="15" customHeight="1" x14ac:dyDescent="0.25">
      <c r="A6" s="66"/>
      <c r="B6" s="67" t="s">
        <v>152</v>
      </c>
      <c r="C6" s="68">
        <f>SUM(C3:C5)</f>
        <v>69677955.555555552</v>
      </c>
      <c r="D6" s="69">
        <f>C6/SUPUESTOS!$C$4</f>
        <v>10719.685470085469</v>
      </c>
      <c r="E6" s="70">
        <f>SUM(F3:F5)</f>
        <v>1</v>
      </c>
      <c r="F6" s="70">
        <f>SUM(F3:F5)</f>
        <v>1</v>
      </c>
      <c r="H6" s="71" t="s">
        <v>153</v>
      </c>
      <c r="I6" s="72">
        <f>I2+I3+I4+I5</f>
        <v>18670806.155555561</v>
      </c>
    </row>
    <row r="7" spans="1:9" ht="17.25" customHeight="1" x14ac:dyDescent="0.25">
      <c r="H7" s="50" t="s">
        <v>154</v>
      </c>
      <c r="I7" s="73">
        <f>IF(I2=0,0,I6/I2)</f>
        <v>0.2113307056482201</v>
      </c>
    </row>
    <row r="8" spans="1:9" ht="15" customHeight="1" x14ac:dyDescent="0.25">
      <c r="A8" s="94" t="s">
        <v>155</v>
      </c>
      <c r="B8" s="94"/>
      <c r="C8" s="94"/>
      <c r="D8" s="94"/>
      <c r="E8" s="94"/>
      <c r="F8" s="94"/>
      <c r="H8" s="71" t="s">
        <v>156</v>
      </c>
      <c r="I8" s="74">
        <f>I6/SUPUESTOS!$C$4</f>
        <v>2872.4317162393172</v>
      </c>
    </row>
    <row r="9" spans="1:9" ht="34.5" customHeight="1" x14ac:dyDescent="0.25">
      <c r="A9" s="28" t="s">
        <v>53</v>
      </c>
      <c r="B9" s="28" t="s">
        <v>157</v>
      </c>
      <c r="C9" s="28" t="s">
        <v>158</v>
      </c>
      <c r="D9" s="28" t="s">
        <v>144</v>
      </c>
      <c r="E9" s="28" t="s">
        <v>159</v>
      </c>
      <c r="F9" s="28" t="s">
        <v>160</v>
      </c>
    </row>
    <row r="10" spans="1:9" ht="15" customHeight="1" x14ac:dyDescent="0.25">
      <c r="A10" s="20">
        <v>1</v>
      </c>
      <c r="B10" s="20" t="s">
        <v>161</v>
      </c>
      <c r="C10" s="21">
        <f>C3</f>
        <v>39057955.555555552</v>
      </c>
      <c r="D10" s="27">
        <f>F3</f>
        <v>0.6</v>
      </c>
      <c r="E10" s="21">
        <f>$C$6*SUPUESTOS!$C$5*(F3/$F$6)</f>
        <v>4180677.3333333335</v>
      </c>
      <c r="F10" s="75">
        <f>E10/SUPUESTOS!$C$4</f>
        <v>643.18112820512818</v>
      </c>
      <c r="H10" s="4" t="s">
        <v>162</v>
      </c>
      <c r="I10" s="4"/>
    </row>
    <row r="11" spans="1:9" ht="15" customHeight="1" x14ac:dyDescent="0.25">
      <c r="A11" s="20">
        <v>2</v>
      </c>
      <c r="B11" s="20" t="s">
        <v>163</v>
      </c>
      <c r="C11" s="21">
        <f>C4</f>
        <v>15620000</v>
      </c>
      <c r="D11" s="27">
        <f>F4</f>
        <v>0.15</v>
      </c>
      <c r="E11" s="21">
        <f>$C$6*SUPUESTOS!$C$5*(F4/$F$6)</f>
        <v>1045169.3333333334</v>
      </c>
      <c r="F11" s="75">
        <f>E11/SUPUESTOS!$C$4</f>
        <v>160.79528205128204</v>
      </c>
      <c r="H11" s="20" t="s">
        <v>164</v>
      </c>
      <c r="I11" s="76">
        <f>D22/SUPUESTOS!C20</f>
        <v>6.7960585931623934</v>
      </c>
    </row>
    <row r="12" spans="1:9" ht="15" customHeight="1" x14ac:dyDescent="0.25">
      <c r="A12" s="20">
        <v>3</v>
      </c>
      <c r="B12" s="20" t="s">
        <v>165</v>
      </c>
      <c r="C12" s="21">
        <f>C5</f>
        <v>15000000</v>
      </c>
      <c r="D12" s="27">
        <f>F5</f>
        <v>0.25</v>
      </c>
      <c r="E12" s="21">
        <v>0</v>
      </c>
      <c r="F12" s="75">
        <f>E12/SUPUESTOS!$C$4</f>
        <v>0</v>
      </c>
      <c r="H12" s="20" t="s">
        <v>166</v>
      </c>
      <c r="I12" s="76">
        <f>D22/SUPUESTOS!C13</f>
        <v>1235.6470169386171</v>
      </c>
    </row>
    <row r="13" spans="1:9" ht="15" customHeight="1" x14ac:dyDescent="0.25">
      <c r="A13" s="66"/>
      <c r="B13" s="67" t="s">
        <v>167</v>
      </c>
      <c r="C13" s="68">
        <f>C6</f>
        <v>69677955.555555552</v>
      </c>
      <c r="D13" s="70">
        <f>SUM(D10:D12)</f>
        <v>1</v>
      </c>
      <c r="E13" s="68">
        <f>SUM(E10:E12)</f>
        <v>5225846.666666667</v>
      </c>
      <c r="F13" s="69">
        <f>E13/SUPUESTOS!$C$4</f>
        <v>803.9764102564103</v>
      </c>
      <c r="H13" s="20" t="s">
        <v>168</v>
      </c>
      <c r="I13" s="76">
        <f>D22/SUPUESTOS!C19</f>
        <v>308.91175423465427</v>
      </c>
    </row>
    <row r="14" spans="1:9" ht="15" customHeight="1" x14ac:dyDescent="0.25">
      <c r="H14" s="20" t="s">
        <v>169</v>
      </c>
      <c r="I14" s="76">
        <f>Laboratorio!G10/SUPUESTOS!C19</f>
        <v>54.615384615384613</v>
      </c>
    </row>
    <row r="15" spans="1:9" ht="15" customHeight="1" x14ac:dyDescent="0.25">
      <c r="H15" s="20" t="s">
        <v>170</v>
      </c>
      <c r="I15" s="77">
        <f>SUPUESTOS!C21</f>
        <v>181.81818181818181</v>
      </c>
    </row>
    <row r="16" spans="1:9" ht="15" customHeight="1" x14ac:dyDescent="0.25">
      <c r="A16" s="5" t="s">
        <v>171</v>
      </c>
      <c r="B16" s="5"/>
      <c r="C16" s="5"/>
      <c r="D16" s="5"/>
    </row>
    <row r="17" spans="1:4" ht="15" customHeight="1" x14ac:dyDescent="0.25">
      <c r="B17" s="20" t="s">
        <v>172</v>
      </c>
      <c r="C17" s="21">
        <f>C6</f>
        <v>69677955.555555552</v>
      </c>
      <c r="D17" s="75">
        <f>C17/SUPUESTOS!$C$4</f>
        <v>10719.685470085469</v>
      </c>
    </row>
    <row r="18" spans="1:4" ht="15" customHeight="1" x14ac:dyDescent="0.25">
      <c r="B18" s="20" t="s">
        <v>173</v>
      </c>
      <c r="C18" s="21">
        <f>E13</f>
        <v>5225846.666666667</v>
      </c>
      <c r="D18" s="75">
        <f>C18/SUPUESTOS!$C$4</f>
        <v>803.9764102564103</v>
      </c>
    </row>
    <row r="19" spans="1:4" ht="15" customHeight="1" x14ac:dyDescent="0.25">
      <c r="B19" s="20" t="s">
        <v>174</v>
      </c>
      <c r="C19" s="21">
        <f>C17+C18</f>
        <v>74903802.222222224</v>
      </c>
      <c r="D19" s="75">
        <f>C19/SUPUESTOS!$C$4</f>
        <v>11523.661880341881</v>
      </c>
    </row>
    <row r="20" spans="1:4" ht="15" customHeight="1" x14ac:dyDescent="0.25">
      <c r="B20" s="20" t="str">
        <f>CONCATENATE("Retención IVA (",TEXT(SUPUESTOS!C6,"0%"),")")</f>
        <v>Retención IVA (7%)</v>
      </c>
      <c r="C20" s="21">
        <f>C19*SUPUESTOS!C6</f>
        <v>5243266.1555555565</v>
      </c>
      <c r="D20" s="75">
        <f>C20/SUPUESTOS!$C$4</f>
        <v>806.65633162393181</v>
      </c>
    </row>
    <row r="21" spans="1:4" ht="15" customHeight="1" x14ac:dyDescent="0.25">
      <c r="B21" s="96" t="s">
        <v>240</v>
      </c>
      <c r="C21" s="97">
        <f>+SUM(C3:C4)*0.15</f>
        <v>8201693.3333333321</v>
      </c>
      <c r="D21" s="75">
        <f>C21/SUPUESTOS!$C$4</f>
        <v>1261.7989743589742</v>
      </c>
    </row>
    <row r="22" spans="1:4" ht="15" customHeight="1" x14ac:dyDescent="0.25">
      <c r="A22" s="78"/>
      <c r="B22" s="78" t="s">
        <v>175</v>
      </c>
      <c r="C22" s="79">
        <f>C19+C20+C21</f>
        <v>88348761.711111113</v>
      </c>
      <c r="D22" s="80">
        <f>C22/SUPUESTOS!$C$4</f>
        <v>13592.117186324787</v>
      </c>
    </row>
    <row r="23" spans="1:4" ht="17.25" customHeight="1" x14ac:dyDescent="0.25">
      <c r="B23" s="81" t="s">
        <v>176</v>
      </c>
      <c r="D23" s="82">
        <f>ROUNDUP(D22,-2)</f>
        <v>13600</v>
      </c>
    </row>
    <row r="26" spans="1:4" ht="15" customHeight="1" x14ac:dyDescent="0.25">
      <c r="A26" s="94" t="s">
        <v>177</v>
      </c>
      <c r="B26" s="94"/>
      <c r="C26" s="94"/>
      <c r="D26" s="94"/>
    </row>
    <row r="27" spans="1:4" ht="15" customHeight="1" x14ac:dyDescent="0.25">
      <c r="A27" s="95"/>
      <c r="B27" s="95" t="s">
        <v>178</v>
      </c>
      <c r="C27" s="95" t="s">
        <v>179</v>
      </c>
      <c r="D27" s="95" t="s">
        <v>180</v>
      </c>
    </row>
    <row r="28" spans="1:4" ht="43.5" customHeight="1" x14ac:dyDescent="0.25">
      <c r="A28" s="20" t="s">
        <v>181</v>
      </c>
      <c r="B28" s="83" t="s">
        <v>182</v>
      </c>
      <c r="C28" s="21">
        <f>C3+E10+C21+(C3+E10)/$C$19*C20</f>
        <v>54467030.524444446</v>
      </c>
      <c r="D28" s="75">
        <f>ROUNDUP(C28/SUPUESTOS!$C$4,-2)</f>
        <v>8400</v>
      </c>
    </row>
    <row r="29" spans="1:4" ht="43.5" customHeight="1" x14ac:dyDescent="0.25">
      <c r="A29" s="20" t="s">
        <v>183</v>
      </c>
      <c r="B29" s="83" t="s">
        <v>184</v>
      </c>
      <c r="C29" s="21">
        <f>C4+E11+(C4+E11)/$C$19*C20</f>
        <v>17831731.186666667</v>
      </c>
      <c r="D29" s="75">
        <f>ROUNDUP(C29/SUPUESTOS!$C$4,-2)</f>
        <v>2800</v>
      </c>
    </row>
    <row r="30" spans="1:4" ht="43.5" customHeight="1" x14ac:dyDescent="0.25">
      <c r="A30" s="20" t="s">
        <v>185</v>
      </c>
      <c r="B30" s="83" t="s">
        <v>186</v>
      </c>
      <c r="C30" s="21">
        <f>C5+E12+(C5+E12)/$C$19*C20</f>
        <v>16050000</v>
      </c>
      <c r="D30" s="75">
        <f>ROUNDUP(C30/SUPUESTOS!$C$4,-2)</f>
        <v>2500</v>
      </c>
    </row>
    <row r="31" spans="1:4" ht="15" customHeight="1" x14ac:dyDescent="0.25">
      <c r="A31" s="66"/>
      <c r="B31" s="67" t="s">
        <v>187</v>
      </c>
      <c r="C31" s="68">
        <f>SUM(C28:C30)</f>
        <v>88348761.711111113</v>
      </c>
      <c r="D31" s="69">
        <f>+SUM(D28:D30)</f>
        <v>13700</v>
      </c>
    </row>
  </sheetData>
  <mergeCells count="6">
    <mergeCell ref="A26:D26"/>
    <mergeCell ref="A1:F1"/>
    <mergeCell ref="H1:I1"/>
    <mergeCell ref="A8:F8"/>
    <mergeCell ref="H10:I10"/>
    <mergeCell ref="A16:D1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6600"/>
  </sheetPr>
  <dimension ref="A1:E30"/>
  <sheetViews>
    <sheetView zoomScaleNormal="100" workbookViewId="0">
      <selection sqref="A1:E1"/>
    </sheetView>
  </sheetViews>
  <sheetFormatPr baseColWidth="10" defaultColWidth="8.7109375" defaultRowHeight="15" x14ac:dyDescent="0.25"/>
  <cols>
    <col min="1" max="1" width="5" customWidth="1"/>
    <col min="2" max="2" width="38" customWidth="1"/>
    <col min="3" max="5" width="20" customWidth="1"/>
  </cols>
  <sheetData>
    <row r="1" spans="1:5" ht="15.75" x14ac:dyDescent="0.25">
      <c r="A1" s="13" t="s">
        <v>188</v>
      </c>
      <c r="B1" s="13"/>
      <c r="C1" s="13"/>
      <c r="D1" s="13"/>
      <c r="E1" s="13"/>
    </row>
    <row r="3" spans="1:5" ht="34.5" customHeight="1" x14ac:dyDescent="0.25">
      <c r="A3" s="28"/>
      <c r="B3" s="28" t="s">
        <v>55</v>
      </c>
      <c r="C3" s="28" t="s">
        <v>189</v>
      </c>
      <c r="D3" s="28" t="s">
        <v>190</v>
      </c>
      <c r="E3" s="28" t="s">
        <v>191</v>
      </c>
    </row>
    <row r="4" spans="1:5" x14ac:dyDescent="0.25">
      <c r="A4" s="3" t="s">
        <v>192</v>
      </c>
      <c r="B4" s="3"/>
      <c r="C4" s="3"/>
      <c r="D4" s="3"/>
      <c r="E4" s="3"/>
    </row>
    <row r="5" spans="1:5" x14ac:dyDescent="0.25">
      <c r="B5" s="20" t="s">
        <v>193</v>
      </c>
      <c r="C5" s="84">
        <f>SUPUESTOS!C7</f>
        <v>0.5</v>
      </c>
      <c r="D5" s="84">
        <f>SUPUESTOS!C8</f>
        <v>0.5</v>
      </c>
      <c r="E5" s="85">
        <f>C5+D5</f>
        <v>1</v>
      </c>
    </row>
    <row r="6" spans="1:5" x14ac:dyDescent="0.25">
      <c r="B6" s="81" t="s">
        <v>194</v>
      </c>
      <c r="C6" s="21">
        <f>Resumen!C22*C5</f>
        <v>44174380.855555557</v>
      </c>
      <c r="D6" s="21">
        <f>Resumen!C22*D5</f>
        <v>44174380.855555557</v>
      </c>
      <c r="E6" s="22">
        <f>C6+D6</f>
        <v>88348761.711111113</v>
      </c>
    </row>
    <row r="7" spans="1:5" x14ac:dyDescent="0.25">
      <c r="B7" s="20" t="s">
        <v>195</v>
      </c>
      <c r="C7" s="75">
        <f>C6/SUPUESTOS!$C$4</f>
        <v>6796.0585931623937</v>
      </c>
      <c r="D7" s="75">
        <f>D6/SUPUESTOS!$C$4</f>
        <v>6796.0585931623937</v>
      </c>
      <c r="E7" s="75">
        <f>E6/SUPUESTOS!$C$4</f>
        <v>13592.117186324787</v>
      </c>
    </row>
    <row r="9" spans="1:5" x14ac:dyDescent="0.25">
      <c r="A9" s="2" t="s">
        <v>196</v>
      </c>
      <c r="B9" s="2"/>
      <c r="C9" s="2"/>
      <c r="D9" s="2"/>
      <c r="E9" s="2"/>
    </row>
    <row r="10" spans="1:5" x14ac:dyDescent="0.25">
      <c r="B10" s="20" t="s">
        <v>197</v>
      </c>
      <c r="C10" s="64">
        <f>Preparación_campo!H12</f>
        <v>24700000</v>
      </c>
      <c r="D10" s="21">
        <v>0</v>
      </c>
      <c r="E10" s="21">
        <f t="shared" ref="E10:E16" si="0">C10+D10</f>
        <v>24700000</v>
      </c>
    </row>
    <row r="11" spans="1:5" x14ac:dyDescent="0.25">
      <c r="B11" s="20" t="s">
        <v>198</v>
      </c>
      <c r="C11" s="64">
        <f>Preparación_campo!H16</f>
        <v>7534400</v>
      </c>
      <c r="D11" s="21">
        <v>0</v>
      </c>
      <c r="E11" s="21">
        <f t="shared" si="0"/>
        <v>7534400</v>
      </c>
    </row>
    <row r="12" spans="1:5" x14ac:dyDescent="0.25">
      <c r="B12" s="20" t="s">
        <v>199</v>
      </c>
      <c r="C12" s="64">
        <f>Preparación_campo!H20</f>
        <v>4000000</v>
      </c>
      <c r="D12" s="21">
        <v>0</v>
      </c>
      <c r="E12" s="21">
        <f t="shared" si="0"/>
        <v>4000000</v>
      </c>
    </row>
    <row r="13" spans="1:5" x14ac:dyDescent="0.25">
      <c r="B13" s="20" t="s">
        <v>200</v>
      </c>
      <c r="C13" s="64">
        <f>Preparación_campo!H27</f>
        <v>2163555.5555555555</v>
      </c>
      <c r="D13" s="21">
        <v>0</v>
      </c>
      <c r="E13" s="21">
        <f t="shared" si="0"/>
        <v>2163555.5555555555</v>
      </c>
    </row>
    <row r="14" spans="1:5" x14ac:dyDescent="0.25">
      <c r="B14" s="20" t="s">
        <v>201</v>
      </c>
      <c r="C14" s="64">
        <f>Preparación_campo!H33</f>
        <v>660000</v>
      </c>
      <c r="D14" s="21">
        <v>0</v>
      </c>
      <c r="E14" s="21">
        <f t="shared" si="0"/>
        <v>660000</v>
      </c>
    </row>
    <row r="15" spans="1:5" x14ac:dyDescent="0.25">
      <c r="B15" s="20" t="s">
        <v>163</v>
      </c>
      <c r="C15" s="64">
        <f>Laboratorio!F10</f>
        <v>15620000</v>
      </c>
      <c r="D15" s="21">
        <v>0</v>
      </c>
      <c r="E15" s="21">
        <f t="shared" si="0"/>
        <v>15620000</v>
      </c>
    </row>
    <row r="16" spans="1:5" x14ac:dyDescent="0.25">
      <c r="B16" s="20" t="s">
        <v>202</v>
      </c>
      <c r="C16" s="21">
        <v>0</v>
      </c>
      <c r="D16" s="64">
        <f>Informe_final!F8</f>
        <v>15000000</v>
      </c>
      <c r="E16" s="21">
        <f t="shared" si="0"/>
        <v>15000000</v>
      </c>
    </row>
    <row r="18" spans="1:5" x14ac:dyDescent="0.25">
      <c r="A18" s="66"/>
      <c r="B18" s="67" t="s">
        <v>203</v>
      </c>
      <c r="C18" s="68">
        <f>SUM(C10:C16)</f>
        <v>54677955.555555552</v>
      </c>
      <c r="D18" s="68">
        <f>SUM(D10:D16)</f>
        <v>15000000</v>
      </c>
      <c r="E18" s="68">
        <f>C18+D18</f>
        <v>69677955.555555552</v>
      </c>
    </row>
    <row r="20" spans="1:5" x14ac:dyDescent="0.25">
      <c r="A20" s="3" t="s">
        <v>204</v>
      </c>
      <c r="B20" s="3"/>
      <c r="C20" s="3"/>
      <c r="D20" s="3"/>
      <c r="E20" s="3"/>
    </row>
    <row r="21" spans="1:5" x14ac:dyDescent="0.25">
      <c r="B21" s="81" t="s">
        <v>205</v>
      </c>
      <c r="C21" s="22">
        <f>C6-C18</f>
        <v>-10503574.699999996</v>
      </c>
      <c r="D21" s="22">
        <f>D6-D18</f>
        <v>29174380.855555557</v>
      </c>
      <c r="E21" s="22">
        <f>C21+D21</f>
        <v>18670806.155555561</v>
      </c>
    </row>
    <row r="22" spans="1:5" x14ac:dyDescent="0.25">
      <c r="B22" s="81" t="s">
        <v>206</v>
      </c>
      <c r="C22" s="22">
        <f>C21</f>
        <v>-10503574.699999996</v>
      </c>
      <c r="D22" s="22">
        <f>C22+D21</f>
        <v>18670806.155555561</v>
      </c>
      <c r="E22" s="22">
        <f>D22</f>
        <v>18670806.155555561</v>
      </c>
    </row>
    <row r="23" spans="1:5" x14ac:dyDescent="0.25">
      <c r="B23" s="81" t="s">
        <v>207</v>
      </c>
      <c r="C23" s="76">
        <f>C22/SUPUESTOS!$C$4</f>
        <v>-1615.9345692307686</v>
      </c>
      <c r="D23" s="76">
        <f>D22/SUPUESTOS!$C$4</f>
        <v>2872.4317162393172</v>
      </c>
      <c r="E23" s="76">
        <f>E22/SUPUESTOS!$C$4</f>
        <v>2872.4317162393172</v>
      </c>
    </row>
    <row r="25" spans="1:5" x14ac:dyDescent="0.25">
      <c r="A25" s="1" t="s">
        <v>208</v>
      </c>
      <c r="B25" s="1"/>
      <c r="C25" s="1"/>
      <c r="D25" s="1"/>
      <c r="E25" s="1"/>
    </row>
    <row r="26" spans="1:5" x14ac:dyDescent="0.25">
      <c r="B26" s="81" t="s">
        <v>209</v>
      </c>
      <c r="C26" s="86">
        <f>MIN(C22,D22,0)</f>
        <v>-10503574.699999996</v>
      </c>
      <c r="D26" s="17" t="s">
        <v>210</v>
      </c>
    </row>
    <row r="27" spans="1:5" x14ac:dyDescent="0.25">
      <c r="B27" s="81" t="s">
        <v>211</v>
      </c>
      <c r="C27" s="87">
        <f>C26/SUPUESTOS!$C$4</f>
        <v>-1615.9345692307686</v>
      </c>
    </row>
    <row r="28" spans="1:5" x14ac:dyDescent="0.25">
      <c r="B28" s="20" t="s">
        <v>212</v>
      </c>
      <c r="C28" s="88">
        <f>D22</f>
        <v>18670806.155555561</v>
      </c>
    </row>
    <row r="30" spans="1:5" ht="18" x14ac:dyDescent="0.25">
      <c r="B30" s="71" t="s">
        <v>213</v>
      </c>
      <c r="C30" s="89">
        <f>E22</f>
        <v>18670806.155555561</v>
      </c>
      <c r="D30" s="90">
        <f>C30/SUPUESTOS!$C$4</f>
        <v>2872.4317162393172</v>
      </c>
    </row>
  </sheetData>
  <mergeCells count="5">
    <mergeCell ref="A1:E1"/>
    <mergeCell ref="A4:E4"/>
    <mergeCell ref="A9:E9"/>
    <mergeCell ref="A20:E20"/>
    <mergeCell ref="A25:E25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08080"/>
  </sheetPr>
  <dimension ref="A1:E5"/>
  <sheetViews>
    <sheetView zoomScaleNormal="100" workbookViewId="0"/>
  </sheetViews>
  <sheetFormatPr baseColWidth="10" defaultColWidth="8.7109375" defaultRowHeight="15" x14ac:dyDescent="0.25"/>
  <cols>
    <col min="1" max="1" width="5" customWidth="1"/>
    <col min="2" max="2" width="25" customWidth="1"/>
    <col min="3" max="3" width="18" customWidth="1"/>
    <col min="4" max="4" width="15" customWidth="1"/>
    <col min="5" max="5" width="18" customWidth="1"/>
  </cols>
  <sheetData>
    <row r="1" spans="1:5" ht="15" customHeight="1" x14ac:dyDescent="0.25">
      <c r="A1" s="28" t="s">
        <v>214</v>
      </c>
      <c r="B1" s="28" t="s">
        <v>215</v>
      </c>
      <c r="C1" s="28" t="s">
        <v>216</v>
      </c>
      <c r="D1" s="28" t="s">
        <v>217</v>
      </c>
      <c r="E1" s="28" t="s">
        <v>218</v>
      </c>
    </row>
    <row r="2" spans="1:5" ht="15" customHeight="1" x14ac:dyDescent="0.25">
      <c r="A2" s="20">
        <v>1</v>
      </c>
      <c r="B2" s="20" t="s">
        <v>99</v>
      </c>
      <c r="C2" s="16">
        <v>6240000</v>
      </c>
      <c r="D2" s="91">
        <v>60</v>
      </c>
      <c r="E2" s="21">
        <f>IF(D2=0,0,C2/D2)</f>
        <v>104000</v>
      </c>
    </row>
    <row r="3" spans="1:5" ht="15" customHeight="1" x14ac:dyDescent="0.25">
      <c r="A3" s="20">
        <v>2</v>
      </c>
      <c r="B3" s="20" t="s">
        <v>101</v>
      </c>
      <c r="C3" s="16">
        <v>8000000</v>
      </c>
      <c r="D3" s="91">
        <v>60</v>
      </c>
      <c r="E3" s="21">
        <f>IF(D3=0,0,C3/D3)</f>
        <v>133333.33333333334</v>
      </c>
    </row>
    <row r="4" spans="1:5" ht="15" customHeight="1" x14ac:dyDescent="0.25">
      <c r="A4" s="20">
        <v>3</v>
      </c>
      <c r="B4" s="20" t="s">
        <v>106</v>
      </c>
      <c r="C4" s="16">
        <v>3000000</v>
      </c>
      <c r="D4" s="91">
        <v>60</v>
      </c>
      <c r="E4" s="21">
        <f>IF(D4=0,0,C4/D4)</f>
        <v>50000</v>
      </c>
    </row>
    <row r="5" spans="1:5" ht="15" customHeight="1" x14ac:dyDescent="0.25">
      <c r="A5" s="20">
        <v>4</v>
      </c>
      <c r="B5" s="20" t="s">
        <v>108</v>
      </c>
      <c r="C5" s="16">
        <v>2200000</v>
      </c>
      <c r="D5" s="91">
        <v>36</v>
      </c>
      <c r="E5" s="21">
        <f>IF(D5=0,0,C5/D5)</f>
        <v>61111.111111111109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08080"/>
  </sheetPr>
  <dimension ref="A1:E6"/>
  <sheetViews>
    <sheetView zoomScaleNormal="100" workbookViewId="0"/>
  </sheetViews>
  <sheetFormatPr baseColWidth="10" defaultColWidth="8.7109375" defaultRowHeight="15" x14ac:dyDescent="0.25"/>
  <cols>
    <col min="1" max="1" width="5" customWidth="1"/>
    <col min="2" max="2" width="30" customWidth="1"/>
    <col min="3" max="3" width="12" customWidth="1"/>
    <col min="4" max="5" width="18" customWidth="1"/>
  </cols>
  <sheetData>
    <row r="1" spans="1:5" ht="15" customHeight="1" x14ac:dyDescent="0.25">
      <c r="A1" s="28" t="s">
        <v>214</v>
      </c>
      <c r="B1" s="28" t="s">
        <v>141</v>
      </c>
      <c r="C1" s="28" t="s">
        <v>122</v>
      </c>
      <c r="D1" s="28" t="s">
        <v>219</v>
      </c>
      <c r="E1" s="28" t="s">
        <v>220</v>
      </c>
    </row>
    <row r="2" spans="1:5" ht="15" customHeight="1" x14ac:dyDescent="0.25">
      <c r="A2" s="20">
        <v>1</v>
      </c>
      <c r="B2" s="20" t="s">
        <v>221</v>
      </c>
      <c r="C2" s="16">
        <v>10</v>
      </c>
      <c r="D2" s="16">
        <v>20000</v>
      </c>
      <c r="E2" s="21">
        <f>C2*D2</f>
        <v>200000</v>
      </c>
    </row>
    <row r="3" spans="1:5" ht="15" customHeight="1" x14ac:dyDescent="0.25">
      <c r="A3" s="20">
        <v>2</v>
      </c>
      <c r="B3" s="20" t="s">
        <v>222</v>
      </c>
      <c r="C3" s="16">
        <v>10</v>
      </c>
      <c r="D3" s="16">
        <v>5000</v>
      </c>
      <c r="E3" s="21">
        <f>C3*D3</f>
        <v>50000</v>
      </c>
    </row>
    <row r="4" spans="1:5" ht="15" customHeight="1" x14ac:dyDescent="0.25">
      <c r="A4" s="20">
        <v>3</v>
      </c>
      <c r="B4" s="20" t="s">
        <v>223</v>
      </c>
      <c r="C4" s="16">
        <v>1</v>
      </c>
      <c r="D4" s="16">
        <v>80000</v>
      </c>
      <c r="E4" s="21">
        <f>C4*D4</f>
        <v>80000</v>
      </c>
    </row>
    <row r="5" spans="1:5" ht="15" customHeight="1" x14ac:dyDescent="0.25">
      <c r="A5" s="20">
        <v>4</v>
      </c>
      <c r="B5" s="20" t="s">
        <v>224</v>
      </c>
      <c r="C5" s="16">
        <v>1</v>
      </c>
      <c r="D5" s="16">
        <v>50000</v>
      </c>
      <c r="E5" s="21">
        <f>C5*D5</f>
        <v>50000</v>
      </c>
    </row>
    <row r="6" spans="1:5" ht="15" customHeight="1" x14ac:dyDescent="0.25">
      <c r="A6" s="92"/>
      <c r="B6" s="92" t="s">
        <v>191</v>
      </c>
      <c r="C6" s="92"/>
      <c r="D6" s="92"/>
      <c r="E6" s="93">
        <f>SUM(E2:E5)</f>
        <v>380000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89FE4-2743-4F38-928E-38F5DECA2CEE}">
  <dimension ref="A1:C9"/>
  <sheetViews>
    <sheetView workbookViewId="0">
      <selection activeCell="C18" sqref="C18"/>
    </sheetView>
  </sheetViews>
  <sheetFormatPr baseColWidth="10" defaultRowHeight="15" x14ac:dyDescent="0.25"/>
  <cols>
    <col min="1" max="1" width="26.42578125" customWidth="1"/>
    <col min="3" max="3" width="27" customWidth="1"/>
  </cols>
  <sheetData>
    <row r="1" spans="1:3" x14ac:dyDescent="0.25">
      <c r="A1" t="s">
        <v>237</v>
      </c>
      <c r="B1" t="s">
        <v>238</v>
      </c>
      <c r="C1" t="s">
        <v>239</v>
      </c>
    </row>
    <row r="2" spans="1:3" x14ac:dyDescent="0.25">
      <c r="A2" t="s">
        <v>227</v>
      </c>
      <c r="B2">
        <v>15</v>
      </c>
      <c r="C2" t="s">
        <v>233</v>
      </c>
    </row>
    <row r="3" spans="1:3" x14ac:dyDescent="0.25">
      <c r="A3" t="s">
        <v>228</v>
      </c>
      <c r="B3">
        <v>17</v>
      </c>
      <c r="C3" t="s">
        <v>233</v>
      </c>
    </row>
    <row r="4" spans="1:3" x14ac:dyDescent="0.25">
      <c r="A4" t="s">
        <v>229</v>
      </c>
      <c r="B4">
        <v>20</v>
      </c>
      <c r="C4" t="s">
        <v>233</v>
      </c>
    </row>
    <row r="5" spans="1:3" x14ac:dyDescent="0.25">
      <c r="A5" t="s">
        <v>230</v>
      </c>
      <c r="B5">
        <v>5</v>
      </c>
      <c r="C5" t="s">
        <v>233</v>
      </c>
    </row>
    <row r="6" spans="1:3" x14ac:dyDescent="0.25">
      <c r="A6" t="s">
        <v>231</v>
      </c>
      <c r="B6">
        <v>12</v>
      </c>
      <c r="C6" t="s">
        <v>234</v>
      </c>
    </row>
    <row r="7" spans="1:3" x14ac:dyDescent="0.25">
      <c r="A7" t="s">
        <v>232</v>
      </c>
      <c r="B7">
        <v>1000</v>
      </c>
      <c r="C7" t="s">
        <v>234</v>
      </c>
    </row>
    <row r="8" spans="1:3" x14ac:dyDescent="0.25">
      <c r="A8" t="s">
        <v>235</v>
      </c>
      <c r="B8">
        <v>30</v>
      </c>
      <c r="C8" t="s">
        <v>233</v>
      </c>
    </row>
    <row r="9" spans="1:3" x14ac:dyDescent="0.25">
      <c r="A9" t="s">
        <v>236</v>
      </c>
      <c r="B9">
        <v>100</v>
      </c>
      <c r="C9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SUPUESTOS</vt:lpstr>
      <vt:lpstr>Preparación_campo</vt:lpstr>
      <vt:lpstr>Laboratorio</vt:lpstr>
      <vt:lpstr>Informe_final</vt:lpstr>
      <vt:lpstr>Resumen</vt:lpstr>
      <vt:lpstr>Flujo_hitos</vt:lpstr>
      <vt:lpstr>Equipos</vt:lpstr>
      <vt:lpstr>Materiales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Ramón Torres</cp:lastModifiedBy>
  <cp:revision>0</cp:revision>
  <dcterms:created xsi:type="dcterms:W3CDTF">2026-04-16T17:49:09Z</dcterms:created>
  <dcterms:modified xsi:type="dcterms:W3CDTF">2026-04-16T18:59:39Z</dcterms:modified>
  <dc:language>en-US</dc:language>
</cp:coreProperties>
</file>